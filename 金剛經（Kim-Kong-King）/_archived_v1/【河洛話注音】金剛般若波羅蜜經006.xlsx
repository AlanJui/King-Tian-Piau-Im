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work\King-Tian-Piau-Im\金剛經（Kim-Kong-King）\"/>
    </mc:Choice>
  </mc:AlternateContent>
  <xr:revisionPtr revIDLastSave="0" documentId="13_ncr:1_{D5999ADE-E8B6-4F94-80D3-280AD666A08D}" xr6:coauthVersionLast="47" xr6:coauthVersionMax="47" xr10:uidLastSave="{00000000-0000-0000-0000-000000000000}"/>
  <bookViews>
    <workbookView xWindow="-120" yWindow="-120" windowWidth="38640" windowHeight="15720" activeTab="1" xr2:uid="{33AB2257-ECDF-4521-8F0E-4FD5B627422C}"/>
  </bookViews>
  <sheets>
    <sheet name="env" sheetId="10" r:id="rId1"/>
    <sheet name="漢字注音" sheetId="1" r:id="rId2"/>
    <sheet name="135拼音-聲調符號" sheetId="3" r:id="rId3"/>
    <sheet name="135拼音-聲調轉換" sheetId="4" r:id="rId4"/>
    <sheet name="轉調助記圖" sheetId="5" r:id="rId5"/>
  </sheets>
  <definedNames>
    <definedName name="FILE_NAME">env!$C$3</definedName>
    <definedName name="IMAGE_URL">env!$C$5</definedName>
    <definedName name="INPUT_FILE_PATH">env!$C$2</definedName>
    <definedName name="OUTPUT_PATH">env!$C$6</definedName>
    <definedName name="TITLE">env!$C$4</definedName>
    <definedName name="每列總字數">env!$C$10</definedName>
    <definedName name="每頁總列數">env!$C$9</definedName>
    <definedName name="顯示注音輸入">env!$C$8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0" l="1"/>
  <c r="B205" i="1"/>
  <c r="B209" i="1" s="1"/>
  <c r="B213" i="1" s="1"/>
  <c r="B217" i="1" s="1"/>
  <c r="B221" i="1" s="1"/>
  <c r="B225" i="1" s="1"/>
  <c r="B229" i="1" s="1"/>
  <c r="B233" i="1" s="1"/>
  <c r="B237" i="1" s="1"/>
  <c r="B241" i="1" s="1"/>
  <c r="B157" i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89" i="1" l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85" i="1"/>
  <c r="U28" i="1"/>
  <c r="U29" i="1"/>
  <c r="U30" i="1"/>
  <c r="U31" i="1"/>
  <c r="U32" i="1"/>
  <c r="U27" i="1"/>
  <c r="U26" i="1"/>
  <c r="V2" i="1"/>
  <c r="B9" i="1"/>
  <c r="G12" i="3"/>
  <c r="F12" i="3"/>
  <c r="E12" i="3"/>
  <c r="D12" i="3"/>
  <c r="G6" i="3"/>
  <c r="F6" i="3"/>
  <c r="E6" i="3"/>
  <c r="D6" i="3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</calcChain>
</file>

<file path=xl/sharedStrings.xml><?xml version="1.0" encoding="utf-8"?>
<sst xmlns="http://schemas.openxmlformats.org/spreadsheetml/2006/main" count="1032" uniqueCount="475">
  <si>
    <t>【台羅拼音】</t>
    <phoneticPr fontId="1" type="noConversion"/>
  </si>
  <si>
    <t>【台語注音】</t>
    <phoneticPr fontId="1" type="noConversion"/>
  </si>
  <si>
    <t>平</t>
    <phoneticPr fontId="1" type="noConversion"/>
  </si>
  <si>
    <t>上</t>
    <phoneticPr fontId="1" type="noConversion"/>
  </si>
  <si>
    <t>去</t>
    <phoneticPr fontId="1" type="noConversion"/>
  </si>
  <si>
    <t>入</t>
    <phoneticPr fontId="1" type="noConversion"/>
  </si>
  <si>
    <t>陰</t>
    <phoneticPr fontId="1" type="noConversion"/>
  </si>
  <si>
    <t>台羅調號</t>
    <phoneticPr fontId="1" type="noConversion"/>
  </si>
  <si>
    <t>第一調</t>
    <phoneticPr fontId="1" type="noConversion"/>
  </si>
  <si>
    <t>第二調</t>
    <phoneticPr fontId="1" type="noConversion"/>
  </si>
  <si>
    <t>第三調</t>
    <phoneticPr fontId="1" type="noConversion"/>
  </si>
  <si>
    <t>第四調</t>
    <phoneticPr fontId="1" type="noConversion"/>
  </si>
  <si>
    <t>（一）陰平</t>
    <phoneticPr fontId="1" type="noConversion"/>
  </si>
  <si>
    <t>（二）陰上</t>
    <phoneticPr fontId="1" type="noConversion"/>
  </si>
  <si>
    <t>（三）陰去</t>
    <phoneticPr fontId="1" type="noConversion"/>
  </si>
  <si>
    <t>（四）陰入</t>
    <phoneticPr fontId="1" type="noConversion"/>
  </si>
  <si>
    <t>台羅調名</t>
    <phoneticPr fontId="1" type="noConversion"/>
  </si>
  <si>
    <t>台語調名</t>
    <phoneticPr fontId="1" type="noConversion"/>
  </si>
  <si>
    <t>高平調</t>
    <phoneticPr fontId="1" type="noConversion"/>
  </si>
  <si>
    <t>高降調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</si>
  <si>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音調</t>
    </r>
    <phoneticPr fontId="1" type="noConversion"/>
  </si>
  <si>
    <t>短入調</t>
    <phoneticPr fontId="1" type="noConversion"/>
  </si>
  <si>
    <t>簡譜聲調</t>
    <phoneticPr fontId="1" type="noConversion"/>
  </si>
  <si>
    <t>5-</t>
    <phoneticPr fontId="1" type="noConversion"/>
  </si>
  <si>
    <t>聲調符號</t>
    <phoneticPr fontId="1" type="noConversion"/>
  </si>
  <si>
    <t>a</t>
    <phoneticPr fontId="1" type="noConversion"/>
  </si>
  <si>
    <t>á</t>
    <phoneticPr fontId="1" type="noConversion"/>
  </si>
  <si>
    <t>à</t>
    <phoneticPr fontId="1" type="noConversion"/>
  </si>
  <si>
    <t>ah</t>
    <phoneticPr fontId="1" type="noConversion"/>
  </si>
  <si>
    <t>ㄚ</t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</si>
  <si>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>ˋ</t>
    </r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</si>
  <si>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 xml:space="preserve">'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</si>
  <si>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phoneticPr fontId="1" type="noConversion"/>
  </si>
  <si>
    <t>漢字舉例</t>
    <phoneticPr fontId="1" type="noConversion"/>
  </si>
  <si>
    <t>東</t>
    <phoneticPr fontId="1" type="noConversion"/>
  </si>
  <si>
    <t>黨</t>
    <phoneticPr fontId="1" type="noConversion"/>
  </si>
  <si>
    <t>棟</t>
    <phoneticPr fontId="1" type="noConversion"/>
  </si>
  <si>
    <t>督</t>
    <phoneticPr fontId="1" type="noConversion"/>
  </si>
  <si>
    <t>拼音字母</t>
    <phoneticPr fontId="1" type="noConversion"/>
  </si>
  <si>
    <t>tong</t>
    <phoneticPr fontId="1" type="noConversion"/>
  </si>
  <si>
    <t>tóng</t>
    <phoneticPr fontId="1" type="noConversion"/>
  </si>
  <si>
    <t>tòng</t>
    <phoneticPr fontId="1" type="noConversion"/>
  </si>
  <si>
    <t>tok</t>
    <phoneticPr fontId="1" type="noConversion"/>
  </si>
  <si>
    <t>注音符號</t>
    <phoneticPr fontId="1" type="noConversion"/>
  </si>
  <si>
    <t>ㄉㄛㄥ</t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</si>
  <si>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Microsoft JhengHei"/>
        <family val="2"/>
        <charset val="1"/>
      </rPr>
      <t>ˋ</t>
    </r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</si>
  <si>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Arial"/>
        <family val="2"/>
      </rPr>
      <t>'</t>
    </r>
    <phoneticPr fontId="1" type="noConversion"/>
  </si>
  <si>
    <t>ㄉㄛㄎ</t>
    <phoneticPr fontId="1" type="noConversion"/>
  </si>
  <si>
    <t>陽</t>
    <phoneticPr fontId="1" type="noConversion"/>
  </si>
  <si>
    <t>第五調</t>
    <phoneticPr fontId="1" type="noConversion"/>
  </si>
  <si>
    <t>第六調</t>
    <phoneticPr fontId="1" type="noConversion"/>
  </si>
  <si>
    <t>第七調</t>
    <phoneticPr fontId="1" type="noConversion"/>
  </si>
  <si>
    <t>第八調</t>
    <phoneticPr fontId="1" type="noConversion"/>
  </si>
  <si>
    <t>（五）陽平</t>
    <phoneticPr fontId="1" type="noConversion"/>
  </si>
  <si>
    <t>（六）陽上</t>
    <phoneticPr fontId="1" type="noConversion"/>
  </si>
  <si>
    <t>（七）陽去</t>
    <phoneticPr fontId="1" type="noConversion"/>
  </si>
  <si>
    <t>（八）陽入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</si>
  <si>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升調</t>
    </r>
    <phoneticPr fontId="1" type="noConversion"/>
  </si>
  <si>
    <t>中音調</t>
    <phoneticPr fontId="1" type="noConversion"/>
  </si>
  <si>
    <t>長入調</t>
    <phoneticPr fontId="1" type="noConversion"/>
  </si>
  <si>
    <t>3-</t>
    <phoneticPr fontId="1" type="noConversion"/>
  </si>
  <si>
    <t>â</t>
    <phoneticPr fontId="1" type="noConversion"/>
  </si>
  <si>
    <t>ā</t>
    <phoneticPr fontId="1" type="noConversion"/>
  </si>
  <si>
    <t>a̍h</t>
    <phoneticPr fontId="1" type="noConversion"/>
  </si>
  <si>
    <t>ㄚˇ</t>
    <phoneticPr fontId="1" type="noConversion"/>
  </si>
  <si>
    <r>
      <rPr>
        <sz val="24"/>
        <color rgb="FFFF0000"/>
        <rFont val="Microsoft JhengHei"/>
        <family val="2"/>
      </rPr>
      <t>ㄚ"</t>
    </r>
    <r>
      <rPr>
        <sz val="24"/>
        <color rgb="FFFF0000"/>
        <rFont val="Arial"/>
        <family val="2"/>
      </rPr>
      <t xml:space="preserve">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</si>
  <si>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r>
      <rPr>
        <sz val="24"/>
        <color rgb="FFFF0000"/>
        <rFont val="Microsoft JhengHei"/>
        <family val="2"/>
        <charset val="136"/>
      </rPr>
      <t>ˊ</t>
    </r>
    <phoneticPr fontId="1" type="noConversion"/>
  </si>
  <si>
    <t>同</t>
    <phoneticPr fontId="1" type="noConversion"/>
  </si>
  <si>
    <t>洞</t>
    <phoneticPr fontId="1" type="noConversion"/>
  </si>
  <si>
    <t>毒</t>
    <phoneticPr fontId="1" type="noConversion"/>
  </si>
  <si>
    <t>tông</t>
    <phoneticPr fontId="1" type="noConversion"/>
  </si>
  <si>
    <t>tōng</t>
    <phoneticPr fontId="1" type="noConversion"/>
  </si>
  <si>
    <t>to̍k</t>
    <phoneticPr fontId="1" type="noConversion"/>
  </si>
  <si>
    <r>
      <t>ㄉㄛㄥ</t>
    </r>
    <r>
      <rPr>
        <sz val="20"/>
        <color rgb="FF000000"/>
        <rFont val="Microsoft JhengHei"/>
        <family val="2"/>
        <charset val="1"/>
      </rPr>
      <t>ˇ</t>
    </r>
    <phoneticPr fontId="1" type="noConversion"/>
  </si>
  <si>
    <r>
      <rPr>
        <sz val="20"/>
        <color rgb="FF000000"/>
        <rFont val="Microsoft JhengHei"/>
        <family val="2"/>
      </rPr>
      <t>ㄉㄛㄥ</t>
    </r>
    <r>
      <rPr>
        <sz val="20"/>
        <color rgb="FF000000"/>
        <rFont val="Arial"/>
        <family val="2"/>
      </rPr>
      <t>"</t>
    </r>
    <phoneticPr fontId="1" type="noConversion"/>
  </si>
  <si>
    <r>
      <t>ㄉㄛㄎ</t>
    </r>
    <r>
      <rPr>
        <sz val="20"/>
        <color rgb="FF000000"/>
        <rFont val="Microsoft JhengHei"/>
        <family val="2"/>
        <charset val="1"/>
      </rPr>
      <t>ˊ</t>
    </r>
    <phoneticPr fontId="1" type="noConversion"/>
  </si>
  <si>
    <t>變調</t>
    <phoneticPr fontId="1" type="noConversion"/>
  </si>
  <si>
    <t>ˉ</t>
    <phoneticPr fontId="1" type="noConversion"/>
  </si>
  <si>
    <t>〔ho²〕</t>
    <phoneticPr fontId="1" type="noConversion"/>
  </si>
  <si>
    <t>〔ho¹〕</t>
    <phoneticPr fontId="1" type="noConversion"/>
  </si>
  <si>
    <t>〔liau⁷〕</t>
  </si>
  <si>
    <t>【高降】取【高】（高平調）</t>
    <phoneticPr fontId="1" type="noConversion"/>
  </si>
  <si>
    <t>==》</t>
    <phoneticPr fontId="1" type="noConversion"/>
  </si>
  <si>
    <t>好(ho2)</t>
    <phoneticPr fontId="1" type="noConversion"/>
  </si>
  <si>
    <t>好(ho1)膽</t>
    <phoneticPr fontId="1" type="noConversion"/>
  </si>
  <si>
    <t>好</t>
    <phoneticPr fontId="1" type="noConversion"/>
  </si>
  <si>
    <t>料</t>
    <phoneticPr fontId="1" type="noConversion"/>
  </si>
  <si>
    <t>【ㄏㄜˋ】</t>
    <phoneticPr fontId="1" type="noConversion"/>
  </si>
  <si>
    <t>【ㄏㄜˉ】</t>
    <phoneticPr fontId="1" type="noConversion"/>
  </si>
  <si>
    <t>【ㄌㄧㄠ+】</t>
    <phoneticPr fontId="1" type="noConversion"/>
  </si>
  <si>
    <t>〔te⁵〕</t>
    <phoneticPr fontId="1" type="noConversion"/>
  </si>
  <si>
    <t>〔te⁷〕</t>
    <phoneticPr fontId="1" type="noConversion"/>
  </si>
  <si>
    <t>〔bi²〕</t>
    <phoneticPr fontId="1" type="noConversion"/>
  </si>
  <si>
    <t>【低升】取【升】（中音調）</t>
    <phoneticPr fontId="1" type="noConversion"/>
  </si>
  <si>
    <t>來(lai5)</t>
    <phoneticPr fontId="1" type="noConversion"/>
  </si>
  <si>
    <t>來(lai7)坐</t>
    <phoneticPr fontId="1" type="noConversion"/>
  </si>
  <si>
    <t>茶</t>
    <phoneticPr fontId="1" type="noConversion"/>
  </si>
  <si>
    <t>米</t>
    <phoneticPr fontId="1" type="noConversion"/>
  </si>
  <si>
    <t>【ㄉㄝˊ】</t>
    <phoneticPr fontId="1" type="noConversion"/>
  </si>
  <si>
    <t>【ㄉㄝ+】</t>
    <phoneticPr fontId="1" type="noConversion"/>
  </si>
  <si>
    <t>【ㆠㄧˋ】</t>
    <phoneticPr fontId="1" type="noConversion"/>
  </si>
  <si>
    <t>〔thng¹〕</t>
    <phoneticPr fontId="1" type="noConversion"/>
  </si>
  <si>
    <t>〔thng⁷〕</t>
    <phoneticPr fontId="1" type="noConversion"/>
  </si>
  <si>
    <t>〔zui²〕</t>
    <phoneticPr fontId="1" type="noConversion"/>
  </si>
  <si>
    <t>高變中</t>
    <phoneticPr fontId="1" type="noConversion"/>
  </si>
  <si>
    <t>天(tinn1)</t>
    <phoneticPr fontId="1" type="noConversion"/>
  </si>
  <si>
    <t>天(tinn7)公</t>
    <phoneticPr fontId="1" type="noConversion"/>
  </si>
  <si>
    <t>湯</t>
    <phoneticPr fontId="1" type="noConversion"/>
  </si>
  <si>
    <t>水</t>
    <phoneticPr fontId="1" type="noConversion"/>
  </si>
  <si>
    <t>【ㄊㄥˉ】</t>
    <phoneticPr fontId="1" type="noConversion"/>
  </si>
  <si>
    <t>【ㄊㄥ+】</t>
    <phoneticPr fontId="1" type="noConversion"/>
  </si>
  <si>
    <t>【ㄗㄨㄧˋ】</t>
    <phoneticPr fontId="1" type="noConversion"/>
  </si>
  <si>
    <t>〔png⁷〕</t>
    <phoneticPr fontId="1" type="noConversion"/>
  </si>
  <si>
    <t>〔png³〕</t>
    <phoneticPr fontId="1" type="noConversion"/>
  </si>
  <si>
    <t>〔liap⁸〕</t>
    <phoneticPr fontId="1" type="noConversion"/>
  </si>
  <si>
    <t>中變低</t>
    <phoneticPr fontId="1" type="noConversion"/>
  </si>
  <si>
    <t>地(te7)</t>
    <phoneticPr fontId="1" type="noConversion"/>
  </si>
  <si>
    <t>地(te3)方</t>
    <phoneticPr fontId="1" type="noConversion"/>
  </si>
  <si>
    <t>飯</t>
    <phoneticPr fontId="1" type="noConversion"/>
  </si>
  <si>
    <t>粒</t>
    <phoneticPr fontId="1" type="noConversion"/>
  </si>
  <si>
    <t>1-</t>
    <phoneticPr fontId="1" type="noConversion"/>
  </si>
  <si>
    <t>【ㄅㄥ+】</t>
    <phoneticPr fontId="1" type="noConversion"/>
  </si>
  <si>
    <t>【ㄅㄥˇ】</t>
    <phoneticPr fontId="1" type="noConversion"/>
  </si>
  <si>
    <t>【ㄌㄧㄚㆴˉ】</t>
    <phoneticPr fontId="1" type="noConversion"/>
  </si>
  <si>
    <t>〔cai³〕</t>
    <phoneticPr fontId="1" type="noConversion"/>
  </si>
  <si>
    <t>〔cai²〕</t>
    <phoneticPr fontId="1" type="noConversion"/>
  </si>
  <si>
    <t>〔sik⁴〕</t>
    <phoneticPr fontId="1" type="noConversion"/>
  </si>
  <si>
    <t>低變高再降</t>
    <phoneticPr fontId="1" type="noConversion"/>
  </si>
  <si>
    <t>聖(sinn3)</t>
    <phoneticPr fontId="1" type="noConversion"/>
  </si>
  <si>
    <t>聖(sinn2)人</t>
    <phoneticPr fontId="1" type="noConversion"/>
  </si>
  <si>
    <t>菜</t>
    <phoneticPr fontId="1" type="noConversion"/>
  </si>
  <si>
    <t>色</t>
    <phoneticPr fontId="1" type="noConversion"/>
  </si>
  <si>
    <t>【ㄘㄞˇ】</t>
    <phoneticPr fontId="1" type="noConversion"/>
  </si>
  <si>
    <t>【ㄘㄞˋ】</t>
    <phoneticPr fontId="1" type="noConversion"/>
  </si>
  <si>
    <r>
      <rPr>
        <sz val="18"/>
        <color rgb="FF000000"/>
        <rFont val="Noto Sans TC"/>
        <family val="2"/>
        <charset val="136"/>
      </rPr>
      <t>【</t>
    </r>
    <r>
      <rPr>
        <sz val="18"/>
        <color rgb="FF000000"/>
        <rFont val="新細明體"/>
        <family val="1"/>
        <charset val="136"/>
        <scheme val="minor"/>
      </rPr>
      <t>ㄒㄧ</t>
    </r>
    <r>
      <rPr>
        <sz val="18"/>
        <color rgb="FF000000"/>
        <rFont val="Microsoft YaHei"/>
        <family val="1"/>
        <charset val="134"/>
      </rPr>
      <t>+】</t>
    </r>
    <phoneticPr fontId="1" type="noConversion"/>
  </si>
  <si>
    <r>
      <t>〔ziok</t>
    </r>
    <r>
      <rPr>
        <sz val="18"/>
        <color rgb="FF000000"/>
        <rFont val="Iansui 094"/>
        <family val="1"/>
        <charset val="136"/>
      </rPr>
      <t>⁴〕</t>
    </r>
    <phoneticPr fontId="1" type="noConversion"/>
  </si>
  <si>
    <t>〔ziok⁸〕</t>
    <phoneticPr fontId="1" type="noConversion"/>
  </si>
  <si>
    <t>〔pa²〕</t>
    <phoneticPr fontId="1" type="noConversion"/>
  </si>
  <si>
    <t>高入降低</t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</si>
  <si>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+</t>
    </r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</si>
  <si>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ˉ</t>
    </r>
    <phoneticPr fontId="1" type="noConversion"/>
  </si>
  <si>
    <t>足(ziok⁴)</t>
    <phoneticPr fontId="1" type="noConversion"/>
  </si>
  <si>
    <t>足(ziok⁸)</t>
    <phoneticPr fontId="1" type="noConversion"/>
  </si>
  <si>
    <t>足</t>
    <phoneticPr fontId="1" type="noConversion"/>
  </si>
  <si>
    <t>飽</t>
    <phoneticPr fontId="1" type="noConversion"/>
  </si>
  <si>
    <t>【ㄐㄧㄛ+】</t>
    <phoneticPr fontId="1" type="noConversion"/>
  </si>
  <si>
    <t>【ㄐㄧㄛˉ】</t>
    <phoneticPr fontId="1" type="noConversion"/>
  </si>
  <si>
    <t>【ㄅㄚˋ】</t>
    <phoneticPr fontId="1" type="noConversion"/>
  </si>
  <si>
    <t>〔hah⁸〕</t>
    <phoneticPr fontId="1" type="noConversion"/>
  </si>
  <si>
    <t>〔hah⁴〕</t>
    <phoneticPr fontId="1" type="noConversion"/>
  </si>
  <si>
    <t>〔i³〕</t>
    <phoneticPr fontId="1" type="noConversion"/>
  </si>
  <si>
    <t>低入升高</t>
    <phoneticPr fontId="1" type="noConversion"/>
  </si>
  <si>
    <t>合(hah⁸)</t>
    <phoneticPr fontId="1" type="noConversion"/>
  </si>
  <si>
    <t>合(hah⁴)</t>
    <phoneticPr fontId="1" type="noConversion"/>
  </si>
  <si>
    <t>合</t>
    <phoneticPr fontId="1" type="noConversion"/>
  </si>
  <si>
    <t>意</t>
    <phoneticPr fontId="1" type="noConversion"/>
  </si>
  <si>
    <t>【ㄏㄚㆷˉ】</t>
    <phoneticPr fontId="1" type="noConversion"/>
  </si>
  <si>
    <t>【ㄏㄚㆷ+】</t>
    <phoneticPr fontId="1" type="noConversion"/>
  </si>
  <si>
    <t>【ㄧˇ】</t>
    <phoneticPr fontId="1" type="noConversion"/>
  </si>
  <si>
    <t>顯示注音輸入</t>
    <phoneticPr fontId="1" type="noConversion"/>
  </si>
  <si>
    <t>Key</t>
    <phoneticPr fontId="58" type="noConversion"/>
  </si>
  <si>
    <t>Value</t>
    <phoneticPr fontId="58" type="noConversion"/>
  </si>
  <si>
    <t>INPUT_FILE_PATH</t>
  </si>
  <si>
    <t>FILE_NAME</t>
  </si>
  <si>
    <r>
      <rPr>
        <sz val="18"/>
        <color theme="1"/>
        <rFont val="微軟正黑體"/>
        <family val="2"/>
        <charset val="136"/>
      </rPr>
      <t>Tai_Gi_Zu_Im_Bun</t>
    </r>
    <r>
      <rPr>
        <sz val="18"/>
        <color theme="1"/>
        <rFont val="黒体-繁"/>
        <family val="2"/>
        <charset val="136"/>
      </rPr>
      <t>.xlsx</t>
    </r>
    <phoneticPr fontId="1" type="noConversion"/>
  </si>
  <si>
    <t>TITLE</t>
  </si>
  <si>
    <t>IMAGE_URL</t>
  </si>
  <si>
    <t>，</t>
  </si>
  <si>
    <t>分</t>
  </si>
  <si>
    <t>第</t>
  </si>
  <si>
    <t>是</t>
  </si>
  <si>
    <t>。</t>
  </si>
  <si>
    <t>ㄚˋ</t>
  </si>
  <si>
    <t>ㄚ</t>
  </si>
  <si>
    <t>ㄚˇ</t>
  </si>
  <si>
    <t>ㄚ+</t>
  </si>
  <si>
    <t>ㄚ_</t>
  </si>
  <si>
    <t xml:space="preserve">ㄚ" </t>
  </si>
  <si>
    <t xml:space="preserve">ㄚ' </t>
  </si>
  <si>
    <t xml:space="preserve"> </t>
    <phoneticPr fontId="1" type="noConversion"/>
  </si>
  <si>
    <t>ㄚㄏ</t>
  </si>
  <si>
    <t>ㄚㄏˊ</t>
  </si>
  <si>
    <t>須</t>
  </si>
  <si>
    <t>菩</t>
  </si>
  <si>
    <t>提</t>
  </si>
  <si>
    <t>「</t>
  </si>
  <si>
    <t>！</t>
  </si>
  <si>
    <t>」</t>
  </si>
  <si>
    <t>所</t>
  </si>
  <si>
    <t>https://shoplineimg.com/5db585d59db3cb0012a18bce/5f2a9d3f30cc6200455c1c25/1296x.webp?source_format=jpg</t>
  </si>
  <si>
    <t>每頁總列數</t>
    <phoneticPr fontId="1" type="noConversion"/>
  </si>
  <si>
    <t>每列總字數</t>
    <phoneticPr fontId="1" type="noConversion"/>
  </si>
  <si>
    <t>有</t>
  </si>
  <si>
    <t>C:\\work\\Piau-Im</t>
    <phoneticPr fontId="1" type="noConversion"/>
  </si>
  <si>
    <t>OUTPUT_PATH</t>
  </si>
  <si>
    <t>output2</t>
  </si>
  <si>
    <t>、</t>
  </si>
  <si>
    <t>人</t>
  </si>
  <si>
    <t>世</t>
  </si>
  <si>
    <t>為</t>
  </si>
  <si>
    <t>說</t>
  </si>
  <si>
    <t>若</t>
  </si>
  <si>
    <t>當</t>
  </si>
  <si>
    <t>我</t>
  </si>
  <si>
    <t>以</t>
  </si>
  <si>
    <t>者</t>
  </si>
  <si>
    <t>於</t>
  </si>
  <si>
    <t>不</t>
  </si>
  <si>
    <t>無</t>
  </si>
  <si>
    <t>諸</t>
  </si>
  <si>
    <t>得</t>
  </si>
  <si>
    <t>故</t>
  </si>
  <si>
    <t>心</t>
  </si>
  <si>
    <t>一</t>
  </si>
  <si>
    <t>應</t>
  </si>
  <si>
    <t>善</t>
  </si>
  <si>
    <t>亦</t>
  </si>
  <si>
    <t>量</t>
  </si>
  <si>
    <t>三</t>
  </si>
  <si>
    <t>：</t>
  </si>
  <si>
    <t>滅</t>
  </si>
  <si>
    <t>佛</t>
  </si>
  <si>
    <t>義</t>
  </si>
  <si>
    <t>　</t>
  </si>
  <si>
    <t>白</t>
  </si>
  <si>
    <t>言</t>
  </si>
  <si>
    <t>尊</t>
  </si>
  <si>
    <t>何</t>
  </si>
  <si>
    <t>？</t>
  </si>
  <si>
    <t>告</t>
  </si>
  <si>
    <t>生</t>
  </si>
  <si>
    <t>如</t>
  </si>
  <si>
    <t>眾</t>
  </si>
  <si>
    <t>；</t>
  </si>
  <si>
    <t>已</t>
  </si>
  <si>
    <t>而</t>
  </si>
  <si>
    <t>實</t>
  </si>
  <si>
    <t>相</t>
  </si>
  <si>
    <t>壽</t>
  </si>
  <si>
    <t>非</t>
  </si>
  <si>
    <t>法</t>
  </si>
  <si>
    <t>來</t>
  </si>
  <si>
    <t>即</t>
  </si>
  <si>
    <t>汝</t>
  </si>
  <si>
    <t>作</t>
  </si>
  <si>
    <t>章節序號</t>
    <phoneticPr fontId="1" type="noConversion"/>
  </si>
  <si>
    <t>hiu2</t>
  </si>
  <si>
    <t>等</t>
  </si>
  <si>
    <t>種</t>
  </si>
  <si>
    <t>悉</t>
  </si>
  <si>
    <t>知</t>
  </si>
  <si>
    <t>千</t>
  </si>
  <si>
    <t>福</t>
  </si>
  <si>
    <t>此</t>
  </si>
  <si>
    <t>德</t>
  </si>
  <si>
    <t>二</t>
  </si>
  <si>
    <t>見</t>
  </si>
  <si>
    <t>念</t>
  </si>
  <si>
    <t>莫</t>
  </si>
  <si>
    <t>能</t>
  </si>
  <si>
    <t>頗</t>
  </si>
  <si>
    <t>聞</t>
  </si>
  <si>
    <t>信</t>
  </si>
  <si>
    <t>乃</t>
  </si>
  <si>
    <t>至</t>
  </si>
  <si>
    <t>淨</t>
  </si>
  <si>
    <t>復</t>
  </si>
  <si>
    <t>修</t>
  </si>
  <si>
    <t>比</t>
  </si>
  <si>
    <t>四</t>
  </si>
  <si>
    <t>持</t>
  </si>
  <si>
    <t>句</t>
  </si>
  <si>
    <t>百</t>
  </si>
  <si>
    <t>萬</t>
  </si>
  <si>
    <t>喻</t>
  </si>
  <si>
    <t>五</t>
  </si>
  <si>
    <t>六</t>
  </si>
  <si>
    <t>著</t>
  </si>
  <si>
    <t>取</t>
  </si>
  <si>
    <t>丘</t>
  </si>
  <si>
    <t>希</t>
  </si>
  <si>
    <t>正</t>
  </si>
  <si>
    <t>正信希有分第六
　　須菩提白佛言：「世尊！頗有眾生，得聞如是言說章句，生實信不？」佛告須菩提：「莫作是說！如來滅後，後五百歲，有持戒修福者，於此章句，能生信心，以此為實。當知是人，不於一佛、二佛、三四五佛而種善根，已於無量千萬佛所種諸善根。聞是章句，乃至一念生淨信者；須菩提！如來悉知悉見，是諸眾生得如是無量福德。何以故？是諸眾生，無復我相、人相、眾生相、壽者相、無法相，亦無非法相。何以故？是諸眾生若心取相，即為著我、人、眾生、壽者。若取法相，即著我、人、眾生、壽者。何以故？若取非法相，即著我、人、眾生、壽者。是故不應取法，不應取非法。以是義故，如來常說：汝等比丘！知我說法，如筏喻者；法尚應捨，何況非法？」</t>
    <phoneticPr fontId="1" type="noConversion"/>
  </si>
  <si>
    <t>章</t>
  </si>
  <si>
    <t>後</t>
  </si>
  <si>
    <t>歲</t>
  </si>
  <si>
    <t>戒</t>
  </si>
  <si>
    <t>根</t>
  </si>
  <si>
    <t>常</t>
  </si>
  <si>
    <t>筏</t>
  </si>
  <si>
    <t>尚</t>
  </si>
  <si>
    <t>捨</t>
  </si>
  <si>
    <t>況</t>
  </si>
  <si>
    <t>tsing3</t>
    <phoneticPr fontId="1" type="noConversion"/>
  </si>
  <si>
    <t>ㄐㄧㄥ˪</t>
    <phoneticPr fontId="1" type="noConversion"/>
  </si>
  <si>
    <t>sin3</t>
    <phoneticPr fontId="1" type="noConversion"/>
  </si>
  <si>
    <t>ㄒㄧㄣ˪</t>
    <phoneticPr fontId="1" type="noConversion"/>
  </si>
  <si>
    <t>hi1</t>
    <phoneticPr fontId="1" type="noConversion"/>
  </si>
  <si>
    <t>ㄏㄧˉ</t>
    <phoneticPr fontId="1" type="noConversion"/>
  </si>
  <si>
    <t>iu2</t>
    <phoneticPr fontId="1" type="noConversion"/>
  </si>
  <si>
    <t>ㄧㄨˋ</t>
    <phoneticPr fontId="1" type="noConversion"/>
  </si>
  <si>
    <t>hun1</t>
    <phoneticPr fontId="1" type="noConversion"/>
  </si>
  <si>
    <t>ㄏㄨㄣˉ</t>
    <phoneticPr fontId="1" type="noConversion"/>
  </si>
  <si>
    <t>te7</t>
    <phoneticPr fontId="1" type="noConversion"/>
  </si>
  <si>
    <t>ㄉㆤ˫</t>
    <phoneticPr fontId="1" type="noConversion"/>
  </si>
  <si>
    <t>liok8</t>
    <phoneticPr fontId="1" type="noConversion"/>
  </si>
  <si>
    <t>ㄌㄧㆦㆻ˙</t>
    <phoneticPr fontId="1" type="noConversion"/>
  </si>
  <si>
    <t>su1</t>
    <phoneticPr fontId="1" type="noConversion"/>
  </si>
  <si>
    <t>ㄙㄨˉ</t>
    <phoneticPr fontId="1" type="noConversion"/>
  </si>
  <si>
    <t>phoo1</t>
    <phoneticPr fontId="1" type="noConversion"/>
  </si>
  <si>
    <t>ㄆㆦˉ</t>
    <phoneticPr fontId="1" type="noConversion"/>
  </si>
  <si>
    <t>the5</t>
    <phoneticPr fontId="1" type="noConversion"/>
  </si>
  <si>
    <t>ㄊㆤˊ</t>
    <phoneticPr fontId="1" type="noConversion"/>
  </si>
  <si>
    <t>pik8</t>
    <phoneticPr fontId="1" type="noConversion"/>
  </si>
  <si>
    <t>ㄅㄧㆻ˙</t>
    <phoneticPr fontId="1" type="noConversion"/>
  </si>
  <si>
    <t>hut8</t>
    <phoneticPr fontId="1" type="noConversion"/>
  </si>
  <si>
    <t>ㄏㄨㆵ˙</t>
    <phoneticPr fontId="1" type="noConversion"/>
  </si>
  <si>
    <t>gian5</t>
    <phoneticPr fontId="1" type="noConversion"/>
  </si>
  <si>
    <t>ㆣㄧㄢˊ</t>
    <phoneticPr fontId="1" type="noConversion"/>
  </si>
  <si>
    <t>se3</t>
    <phoneticPr fontId="1" type="noConversion"/>
  </si>
  <si>
    <t>ㄙㆤ˪</t>
    <phoneticPr fontId="1" type="noConversion"/>
  </si>
  <si>
    <t>tsun1</t>
    <phoneticPr fontId="1" type="noConversion"/>
  </si>
  <si>
    <t>ㄗㄨㄣˉ</t>
    <phoneticPr fontId="1" type="noConversion"/>
  </si>
  <si>
    <t>pho2</t>
    <phoneticPr fontId="1" type="noConversion"/>
  </si>
  <si>
    <t>ㄆㄜˋ</t>
    <phoneticPr fontId="1" type="noConversion"/>
  </si>
  <si>
    <t>tsiong3</t>
    <phoneticPr fontId="1" type="noConversion"/>
  </si>
  <si>
    <t>ㄐㄧㆲ˪</t>
    <phoneticPr fontId="1" type="noConversion"/>
  </si>
  <si>
    <t>sing1</t>
    <phoneticPr fontId="1" type="noConversion"/>
  </si>
  <si>
    <t>ㄒㄧㄥˉ</t>
    <phoneticPr fontId="1" type="noConversion"/>
  </si>
  <si>
    <t>tik4</t>
    <phoneticPr fontId="1" type="noConversion"/>
  </si>
  <si>
    <t>ㄉㄧㆻ</t>
    <phoneticPr fontId="1" type="noConversion"/>
  </si>
  <si>
    <t>bun5</t>
    <phoneticPr fontId="1" type="noConversion"/>
  </si>
  <si>
    <t>ㆠㄨㄣˊ</t>
    <phoneticPr fontId="1" type="noConversion"/>
  </si>
  <si>
    <t>ju5</t>
    <phoneticPr fontId="1" type="noConversion"/>
  </si>
  <si>
    <t>ㆡㄨˊ</t>
    <phoneticPr fontId="1" type="noConversion"/>
  </si>
  <si>
    <t>si6</t>
    <phoneticPr fontId="1" type="noConversion"/>
  </si>
  <si>
    <t>ㄒㄧˋ</t>
    <phoneticPr fontId="1" type="noConversion"/>
  </si>
  <si>
    <t>suat4</t>
    <phoneticPr fontId="1" type="noConversion"/>
  </si>
  <si>
    <t>ㄙㄨㄚㆵ</t>
    <phoneticPr fontId="1" type="noConversion"/>
  </si>
  <si>
    <t>tsiang1</t>
    <phoneticPr fontId="1" type="noConversion"/>
  </si>
  <si>
    <t>ㄐㄧㄤˉ</t>
    <phoneticPr fontId="1" type="noConversion"/>
  </si>
  <si>
    <t>ku3</t>
    <phoneticPr fontId="1" type="noConversion"/>
  </si>
  <si>
    <t>ㄍㄨ˪</t>
    <phoneticPr fontId="1" type="noConversion"/>
  </si>
  <si>
    <t>sit8</t>
    <phoneticPr fontId="1" type="noConversion"/>
  </si>
  <si>
    <t>ㄒㄧㆵ˙</t>
    <phoneticPr fontId="1" type="noConversion"/>
  </si>
  <si>
    <t>hiu2</t>
    <phoneticPr fontId="1" type="noConversion"/>
  </si>
  <si>
    <t>ㄏㄧㄨˋ</t>
    <phoneticPr fontId="1" type="noConversion"/>
  </si>
  <si>
    <t>ko3</t>
    <phoneticPr fontId="1" type="noConversion"/>
  </si>
  <si>
    <t>ㄍㄜ˪</t>
    <phoneticPr fontId="1" type="noConversion"/>
  </si>
  <si>
    <t>bok8</t>
    <phoneticPr fontId="1" type="noConversion"/>
  </si>
  <si>
    <t>ㆠㆦㆻ˙</t>
    <phoneticPr fontId="1" type="noConversion"/>
  </si>
  <si>
    <t>tsok4</t>
    <phoneticPr fontId="1" type="noConversion"/>
  </si>
  <si>
    <t>ㄗㆦㆻ</t>
    <phoneticPr fontId="1" type="noConversion"/>
  </si>
  <si>
    <t>lai5</t>
    <phoneticPr fontId="1" type="noConversion"/>
  </si>
  <si>
    <t>ㄌㄞˊ</t>
    <phoneticPr fontId="1" type="noConversion"/>
  </si>
  <si>
    <t>biat8</t>
    <phoneticPr fontId="1" type="noConversion"/>
  </si>
  <si>
    <t>ㆠㄧㄚㆵ˙</t>
    <phoneticPr fontId="1" type="noConversion"/>
  </si>
  <si>
    <t>hoo7</t>
    <phoneticPr fontId="1" type="noConversion"/>
  </si>
  <si>
    <t>ㄏㆦ˫</t>
    <phoneticPr fontId="1" type="noConversion"/>
  </si>
  <si>
    <t>ngoo2</t>
    <phoneticPr fontId="1" type="noConversion"/>
  </si>
  <si>
    <t>ㄫㆦˋ</t>
    <phoneticPr fontId="1" type="noConversion"/>
  </si>
  <si>
    <t>pik4</t>
    <phoneticPr fontId="1" type="noConversion"/>
  </si>
  <si>
    <t>ㄅㄧㆻ</t>
    <phoneticPr fontId="1" type="noConversion"/>
  </si>
  <si>
    <t>sue3</t>
    <phoneticPr fontId="1" type="noConversion"/>
  </si>
  <si>
    <t>ㄙㄨㆤ˪</t>
    <phoneticPr fontId="1" type="noConversion"/>
  </si>
  <si>
    <t>tshi5</t>
    <phoneticPr fontId="1" type="noConversion"/>
  </si>
  <si>
    <t>ㄑㄧˊ</t>
    <phoneticPr fontId="1" type="noConversion"/>
  </si>
  <si>
    <t>kai3</t>
    <phoneticPr fontId="1" type="noConversion"/>
  </si>
  <si>
    <t>ㄍㄞ˪</t>
    <phoneticPr fontId="1" type="noConversion"/>
  </si>
  <si>
    <t>siu1</t>
    <phoneticPr fontId="1" type="noConversion"/>
  </si>
  <si>
    <t>ㄒㄧㄨˉ</t>
    <phoneticPr fontId="1" type="noConversion"/>
  </si>
  <si>
    <t>hok4</t>
    <phoneticPr fontId="1" type="noConversion"/>
  </si>
  <si>
    <t>ㄏㆦㆻ</t>
    <phoneticPr fontId="1" type="noConversion"/>
  </si>
  <si>
    <t>tsia2</t>
    <phoneticPr fontId="1" type="noConversion"/>
  </si>
  <si>
    <t>ㄐㄧㄚˋ</t>
    <phoneticPr fontId="1" type="noConversion"/>
  </si>
  <si>
    <t>u1</t>
    <phoneticPr fontId="1" type="noConversion"/>
  </si>
  <si>
    <t>ㄨˉ</t>
    <phoneticPr fontId="1" type="noConversion"/>
  </si>
  <si>
    <t>tshu2</t>
    <phoneticPr fontId="1" type="noConversion"/>
  </si>
  <si>
    <t>ㄘㄨˋ</t>
    <phoneticPr fontId="1" type="noConversion"/>
  </si>
  <si>
    <t>ling5</t>
    <phoneticPr fontId="1" type="noConversion"/>
  </si>
  <si>
    <t>ㄌㄧㄥˊ</t>
    <phoneticPr fontId="1" type="noConversion"/>
  </si>
  <si>
    <t>sim1</t>
    <phoneticPr fontId="1" type="noConversion"/>
  </si>
  <si>
    <t>ㄒㄧㆬˉ</t>
    <phoneticPr fontId="1" type="noConversion"/>
  </si>
  <si>
    <t>i2</t>
    <phoneticPr fontId="1" type="noConversion"/>
  </si>
  <si>
    <t>ㄧˋ</t>
    <phoneticPr fontId="1" type="noConversion"/>
  </si>
  <si>
    <t>ui5</t>
    <phoneticPr fontId="1" type="noConversion"/>
  </si>
  <si>
    <t>ㄨㄧˊ</t>
    <phoneticPr fontId="1" type="noConversion"/>
  </si>
  <si>
    <t>tong1</t>
    <phoneticPr fontId="1" type="noConversion"/>
  </si>
  <si>
    <t>ㄉㆲˉ</t>
    <phoneticPr fontId="1" type="noConversion"/>
  </si>
  <si>
    <t>ti1</t>
    <phoneticPr fontId="1" type="noConversion"/>
  </si>
  <si>
    <t>ㄉㄧˉ</t>
    <phoneticPr fontId="1" type="noConversion"/>
  </si>
  <si>
    <t>jin5</t>
    <phoneticPr fontId="1" type="noConversion"/>
  </si>
  <si>
    <t>ㆢㄧㄣˊ</t>
    <phoneticPr fontId="1" type="noConversion"/>
  </si>
  <si>
    <t>put4</t>
    <phoneticPr fontId="1" type="noConversion"/>
  </si>
  <si>
    <t>ㄅㄨㆵ</t>
    <phoneticPr fontId="1" type="noConversion"/>
  </si>
  <si>
    <t>it4</t>
    <phoneticPr fontId="1" type="noConversion"/>
  </si>
  <si>
    <t>ㄧㆵ</t>
    <phoneticPr fontId="1" type="noConversion"/>
  </si>
  <si>
    <t>ji7</t>
    <phoneticPr fontId="1" type="noConversion"/>
  </si>
  <si>
    <t>ㆢㄧ˫</t>
    <phoneticPr fontId="1" type="noConversion"/>
  </si>
  <si>
    <t>sam1</t>
    <phoneticPr fontId="1" type="noConversion"/>
  </si>
  <si>
    <t>ㄙㆰˉ</t>
    <phoneticPr fontId="1" type="noConversion"/>
  </si>
  <si>
    <t>su3</t>
    <phoneticPr fontId="1" type="noConversion"/>
  </si>
  <si>
    <t>ㄙㄨ˪</t>
    <phoneticPr fontId="1" type="noConversion"/>
  </si>
  <si>
    <t>ji5</t>
    <phoneticPr fontId="1" type="noConversion"/>
  </si>
  <si>
    <t>ㆢㄧˊ</t>
    <phoneticPr fontId="1" type="noConversion"/>
  </si>
  <si>
    <t>sian7</t>
    <phoneticPr fontId="1" type="noConversion"/>
  </si>
  <si>
    <t>ㄒㄧㄢ˫</t>
    <phoneticPr fontId="1" type="noConversion"/>
  </si>
  <si>
    <t>kun1</t>
    <phoneticPr fontId="1" type="noConversion"/>
  </si>
  <si>
    <t>ㄍㄨㄣˉ</t>
    <phoneticPr fontId="1" type="noConversion"/>
  </si>
  <si>
    <t>bu5</t>
    <phoneticPr fontId="1" type="noConversion"/>
  </si>
  <si>
    <t>ㆠㄨˊ</t>
    <phoneticPr fontId="1" type="noConversion"/>
  </si>
  <si>
    <t>liong7</t>
    <phoneticPr fontId="1" type="noConversion"/>
  </si>
  <si>
    <t>ㄌㄧㆲ˫</t>
    <phoneticPr fontId="1" type="noConversion"/>
  </si>
  <si>
    <t>tshian1</t>
    <phoneticPr fontId="1" type="noConversion"/>
  </si>
  <si>
    <t>ㄑㄧㄢˉ</t>
    <phoneticPr fontId="1" type="noConversion"/>
  </si>
  <si>
    <t>ban7</t>
    <phoneticPr fontId="1" type="noConversion"/>
  </si>
  <si>
    <t>ㆠㄢ˫</t>
    <phoneticPr fontId="1" type="noConversion"/>
  </si>
  <si>
    <t>soo2</t>
    <phoneticPr fontId="1" type="noConversion"/>
  </si>
  <si>
    <t>ㄙㆦˋ</t>
    <phoneticPr fontId="1" type="noConversion"/>
  </si>
  <si>
    <t>tsu1</t>
    <phoneticPr fontId="1" type="noConversion"/>
  </si>
  <si>
    <t>ㄗㄨˉ</t>
    <phoneticPr fontId="1" type="noConversion"/>
  </si>
  <si>
    <t>nai2</t>
    <phoneticPr fontId="1" type="noConversion"/>
  </si>
  <si>
    <t>ㄋㄞˋ</t>
    <phoneticPr fontId="1" type="noConversion"/>
  </si>
  <si>
    <t>tsi3</t>
    <phoneticPr fontId="1" type="noConversion"/>
  </si>
  <si>
    <t>ㄐㄧ˪</t>
    <phoneticPr fontId="1" type="noConversion"/>
  </si>
  <si>
    <t>liam7</t>
    <phoneticPr fontId="1" type="noConversion"/>
  </si>
  <si>
    <t>ㄌㄧㆰ˫</t>
    <phoneticPr fontId="1" type="noConversion"/>
  </si>
  <si>
    <t>tsing7</t>
    <phoneticPr fontId="1" type="noConversion"/>
  </si>
  <si>
    <t>ㄐㄧㄥ˫</t>
    <phoneticPr fontId="1" type="noConversion"/>
  </si>
  <si>
    <t>sik4</t>
    <phoneticPr fontId="1" type="noConversion"/>
  </si>
  <si>
    <t>ㄒㄧㆻ</t>
    <phoneticPr fontId="1" type="noConversion"/>
  </si>
  <si>
    <t>kian3</t>
    <phoneticPr fontId="1" type="noConversion"/>
  </si>
  <si>
    <t>ㄍㄧㄢ˪</t>
    <phoneticPr fontId="1" type="noConversion"/>
  </si>
  <si>
    <t>ho5</t>
    <phoneticPr fontId="1" type="noConversion"/>
  </si>
  <si>
    <t>ㄏㄜˊ</t>
    <phoneticPr fontId="1" type="noConversion"/>
  </si>
  <si>
    <t>koo3</t>
    <phoneticPr fontId="1" type="noConversion"/>
  </si>
  <si>
    <t>ㄍㆦ˪</t>
    <phoneticPr fontId="1" type="noConversion"/>
  </si>
  <si>
    <t>hok8</t>
    <phoneticPr fontId="1" type="noConversion"/>
  </si>
  <si>
    <t>ㄏㆦㆻ˙</t>
    <phoneticPr fontId="1" type="noConversion"/>
  </si>
  <si>
    <t>siong3</t>
    <phoneticPr fontId="1" type="noConversion"/>
  </si>
  <si>
    <t>ㄒㄧㆲ˪</t>
    <phoneticPr fontId="1" type="noConversion"/>
  </si>
  <si>
    <t>siu7</t>
    <phoneticPr fontId="1" type="noConversion"/>
  </si>
  <si>
    <t>ㄒㄧㄨ˫</t>
    <phoneticPr fontId="1" type="noConversion"/>
  </si>
  <si>
    <t>huat4</t>
    <phoneticPr fontId="1" type="noConversion"/>
  </si>
  <si>
    <t>ㄏㄨㄚㆵ</t>
    <phoneticPr fontId="1" type="noConversion"/>
  </si>
  <si>
    <t>ik8</t>
    <phoneticPr fontId="1" type="noConversion"/>
  </si>
  <si>
    <t>ㄧㆻ˙</t>
    <phoneticPr fontId="1" type="noConversion"/>
  </si>
  <si>
    <t>hui1</t>
    <phoneticPr fontId="1" type="noConversion"/>
  </si>
  <si>
    <t>ㄏㄨㄧˉ</t>
    <phoneticPr fontId="1" type="noConversion"/>
  </si>
  <si>
    <t>jiok8</t>
    <phoneticPr fontId="1" type="noConversion"/>
  </si>
  <si>
    <t>ㆢㄧㆦㆻ˙</t>
    <phoneticPr fontId="1" type="noConversion"/>
  </si>
  <si>
    <t>tsik4</t>
    <phoneticPr fontId="1" type="noConversion"/>
  </si>
  <si>
    <t>ㄐㄧㆻ</t>
    <phoneticPr fontId="1" type="noConversion"/>
  </si>
  <si>
    <t>tiok8</t>
    <phoneticPr fontId="1" type="noConversion"/>
  </si>
  <si>
    <t>ㄉㄧㆦㆻ˙</t>
    <phoneticPr fontId="1" type="noConversion"/>
  </si>
  <si>
    <t>ing1</t>
    <phoneticPr fontId="1" type="noConversion"/>
  </si>
  <si>
    <t>ㄧㄥˉ</t>
    <phoneticPr fontId="1" type="noConversion"/>
  </si>
  <si>
    <t>gi7</t>
    <phoneticPr fontId="1" type="noConversion"/>
  </si>
  <si>
    <t>ㆣㄧ˫</t>
    <phoneticPr fontId="1" type="noConversion"/>
  </si>
  <si>
    <t>siang5</t>
    <phoneticPr fontId="1" type="noConversion"/>
  </si>
  <si>
    <t>ㄒㄧㄤˊ</t>
    <phoneticPr fontId="1" type="noConversion"/>
  </si>
  <si>
    <t>ju2</t>
    <phoneticPr fontId="1" type="noConversion"/>
  </si>
  <si>
    <t>ㆡㄨˋ</t>
    <phoneticPr fontId="1" type="noConversion"/>
  </si>
  <si>
    <t>ting2</t>
    <phoneticPr fontId="1" type="noConversion"/>
  </si>
  <si>
    <t>ㄉㄧㄥˋ</t>
    <phoneticPr fontId="1" type="noConversion"/>
  </si>
  <si>
    <t>pi2</t>
    <phoneticPr fontId="1" type="noConversion"/>
  </si>
  <si>
    <t>ㄅㄧˋ</t>
    <phoneticPr fontId="1" type="noConversion"/>
  </si>
  <si>
    <t>khiu1</t>
    <phoneticPr fontId="1" type="noConversion"/>
  </si>
  <si>
    <t>ㄎㄧㄨˉ</t>
    <phoneticPr fontId="1" type="noConversion"/>
  </si>
  <si>
    <t>ju7</t>
    <phoneticPr fontId="1" type="noConversion"/>
  </si>
  <si>
    <t>ㆡㄨ˫</t>
    <phoneticPr fontId="1" type="noConversion"/>
  </si>
  <si>
    <t>siong7</t>
    <phoneticPr fontId="1" type="noConversion"/>
  </si>
  <si>
    <t>ㄒㄧㆲ˫</t>
    <phoneticPr fontId="1" type="noConversion"/>
  </si>
  <si>
    <t>hong2</t>
    <phoneticPr fontId="1" type="noConversion"/>
  </si>
  <si>
    <t>ㄏㆲˋ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</si>
</sst>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28"/>
      <color rgb="FFC00000"/>
      <name val="Noto Serif TC Black"/>
      <family val="1"/>
      <charset val="136"/>
    </font>
    <font>
      <sz val="16"/>
      <color theme="0"/>
      <name val="新細明體"/>
      <family val="1"/>
      <charset val="136"/>
      <scheme val="minor"/>
    </font>
    <font>
      <sz val="16"/>
      <color rgb="FF7030A0"/>
      <name val="新細明體"/>
      <family val="1"/>
      <charset val="136"/>
      <scheme val="minor"/>
    </font>
    <font>
      <sz val="24"/>
      <color rgb="FF000000"/>
      <name val="Noto Serif TC SemiBold"/>
      <family val="1"/>
      <charset val="136"/>
    </font>
    <font>
      <b/>
      <sz val="48"/>
      <color rgb="FF000000"/>
      <name val="Noto Serif TC Black"/>
      <family val="1"/>
      <charset val="136"/>
    </font>
    <font>
      <sz val="24"/>
      <color rgb="FF0070C0"/>
      <name val="Noto Serif TC SemiBold"/>
      <family val="1"/>
      <charset val="136"/>
    </font>
    <font>
      <sz val="16"/>
      <color rgb="FF0070C0"/>
      <name val="Iansui 094"/>
      <family val="3"/>
      <charset val="136"/>
    </font>
    <font>
      <sz val="16"/>
      <color theme="0"/>
      <name val="Arial"/>
      <family val="2"/>
    </font>
    <font>
      <b/>
      <sz val="28"/>
      <color rgb="FF7030A0"/>
      <name val="Times New Roman"/>
      <family val="1"/>
    </font>
    <font>
      <b/>
      <sz val="16"/>
      <color rgb="FFFF0000"/>
      <name val="PMingLiU"/>
      <family val="1"/>
      <charset val="136"/>
    </font>
    <font>
      <b/>
      <sz val="16"/>
      <color rgb="FF000000"/>
      <name val="Iansui 094"/>
      <family val="3"/>
      <charset val="136"/>
    </font>
    <font>
      <b/>
      <sz val="16"/>
      <color rgb="FF000000"/>
      <name val="Iansui 094"/>
      <family val="2"/>
      <charset val="136"/>
    </font>
    <font>
      <b/>
      <sz val="16"/>
      <color rgb="FF000000"/>
      <name val="Noto Sans TC"/>
      <family val="2"/>
      <charset val="136"/>
    </font>
    <font>
      <sz val="48"/>
      <color rgb="FF7030A0"/>
      <name val="Times New Roman"/>
      <family val="1"/>
    </font>
    <font>
      <sz val="24"/>
      <color rgb="FFC00000"/>
      <name val="Noto Serif TC SemiBold"/>
      <family val="1"/>
      <charset val="136"/>
    </font>
    <font>
      <sz val="16"/>
      <color rgb="FFC00000"/>
      <name val="Arial"/>
      <family val="2"/>
    </font>
    <font>
      <sz val="24"/>
      <color rgb="FF000000"/>
      <name val="Arial"/>
      <family val="2"/>
    </font>
    <font>
      <sz val="24"/>
      <color rgb="FFFF0000"/>
      <name val="Noto Serif TC SemiBold"/>
      <family val="1"/>
      <charset val="136"/>
    </font>
    <font>
      <sz val="24"/>
      <color rgb="FFFF0000"/>
      <name val="Microsoft JhengHei"/>
      <family val="2"/>
    </font>
    <font>
      <sz val="24"/>
      <color rgb="FFFF0000"/>
      <name val="Arial"/>
      <family val="2"/>
    </font>
    <font>
      <sz val="24"/>
      <color rgb="FFFF0000"/>
      <name val="Microsoft JhengHei"/>
      <family val="2"/>
      <charset val="136"/>
    </font>
    <font>
      <b/>
      <sz val="24"/>
      <color rgb="FF000000"/>
      <name val="Iansui 094"/>
      <family val="3"/>
      <charset val="136"/>
    </font>
    <font>
      <b/>
      <sz val="24"/>
      <color rgb="FF000000"/>
      <name val="BopomofoRuby1909-v1"/>
      <family val="3"/>
      <charset val="136"/>
    </font>
    <font>
      <sz val="20"/>
      <color rgb="FF000000"/>
      <name val="Microsoft JhengHei"/>
      <family val="2"/>
    </font>
    <font>
      <sz val="24"/>
      <color rgb="FF000000"/>
      <name val="Microsoft JhengHei"/>
      <family val="2"/>
    </font>
    <font>
      <sz val="24"/>
      <color rgb="FF000000"/>
      <name val="Microsoft JhengHei"/>
      <family val="2"/>
      <charset val="1"/>
    </font>
    <font>
      <sz val="16"/>
      <color theme="0" tint="-0.34998626667073579"/>
      <name val="Iansui 094"/>
      <family val="3"/>
      <charset val="136"/>
    </font>
    <font>
      <sz val="20"/>
      <color rgb="FF000000"/>
      <name val="Microsoft JhengHei"/>
      <family val="2"/>
      <charset val="1"/>
    </font>
    <font>
      <sz val="20"/>
      <color rgb="FFC00000"/>
      <name val="Arial"/>
      <family val="2"/>
    </font>
    <font>
      <sz val="20"/>
      <color rgb="FF000000"/>
      <name val="Arial"/>
      <family val="2"/>
    </font>
    <font>
      <sz val="24"/>
      <color rgb="FF000000"/>
      <name val="Iansui 094"/>
      <family val="3"/>
      <charset val="136"/>
    </font>
    <font>
      <sz val="18"/>
      <color rgb="FFFF0000"/>
      <name val="Iansui 094"/>
      <family val="3"/>
      <charset val="136"/>
    </font>
    <font>
      <sz val="24"/>
      <color rgb="FF000000"/>
      <name val="Noto Serif TC Medium"/>
      <family val="1"/>
      <charset val="136"/>
    </font>
    <font>
      <sz val="10"/>
      <color rgb="FF000000"/>
      <name val="Noto Serif TC Medium"/>
      <family val="1"/>
      <charset val="136"/>
    </font>
    <font>
      <sz val="16"/>
      <color rgb="FF000000"/>
      <name val="LXGW WenKai"/>
      <family val="1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2"/>
      <charset val="136"/>
    </font>
    <font>
      <sz val="18"/>
      <color rgb="FF000000"/>
      <name val="Noto Sans TC"/>
      <family val="2"/>
      <charset val="136"/>
    </font>
    <font>
      <sz val="18"/>
      <color rgb="FF000000"/>
      <name val="Microsoft YaHei"/>
      <family val="1"/>
      <charset val="134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b/>
      <sz val="18"/>
      <color rgb="FFFF0000"/>
      <name val="Noto Sans TC"/>
      <family val="2"/>
      <charset val="136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2"/>
      <color rgb="FF000000"/>
      <name val="Noto Serif TC Medium"/>
      <family val="1"/>
      <charset val="136"/>
    </font>
    <font>
      <sz val="28"/>
      <color rgb="FF000000"/>
      <name val="LXGW WenKai"/>
      <family val="1"/>
      <charset val="136"/>
    </font>
    <font>
      <sz val="28"/>
      <color rgb="FF000000"/>
      <name val="細明體"/>
      <family val="3"/>
      <charset val="136"/>
    </font>
    <font>
      <sz val="28"/>
      <color rgb="FF000000"/>
      <name val="LXGW WenKai"/>
      <family val="1"/>
      <charset val="134"/>
    </font>
    <font>
      <sz val="18"/>
      <color theme="1"/>
      <name val="細明體"/>
      <family val="2"/>
      <charset val="136"/>
    </font>
    <font>
      <sz val="18"/>
      <color theme="1"/>
      <name val="Arial"/>
      <family val="2"/>
    </font>
    <font>
      <b/>
      <sz val="16"/>
      <name val="Arial"/>
      <family val="2"/>
    </font>
    <font>
      <b/>
      <sz val="48"/>
      <name val="吳守禮細明台語注音"/>
      <family val="1"/>
      <charset val="136"/>
    </font>
    <font>
      <b/>
      <sz val="48"/>
      <name val="吳守禮細明台語破音01"/>
      <family val="1"/>
      <charset val="136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sz val="1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4">
    <xf numFmtId="0" fontId="0" fillId="0" borderId="0"/>
    <xf numFmtId="0" fontId="57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42" fillId="0" borderId="0" xfId="0" quotePrefix="1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52" fillId="0" borderId="0" xfId="0" applyFont="1" applyAlignment="1">
      <alignment shrinkToFit="1" readingOrder="1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7" fillId="7" borderId="0" xfId="1" applyFill="1">
      <alignment vertical="center"/>
    </xf>
    <xf numFmtId="0" fontId="57" fillId="0" borderId="0" xfId="1">
      <alignment vertical="center"/>
    </xf>
    <xf numFmtId="0" fontId="60" fillId="0" borderId="0" xfId="1" applyFont="1">
      <alignment vertical="center"/>
    </xf>
    <xf numFmtId="0" fontId="54" fillId="0" borderId="7" xfId="0" applyFont="1" applyBorder="1" applyAlignment="1">
      <alignment shrinkToFit="1" readingOrder="1"/>
    </xf>
    <xf numFmtId="0" fontId="0" fillId="0" borderId="8" xfId="0" applyBorder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63" fillId="0" borderId="0" xfId="3" applyAlignment="1">
      <alignment vertical="center"/>
    </xf>
    <xf numFmtId="0" fontId="0" fillId="0" borderId="0" xfId="0" applyAlignment="1">
      <alignment horizontal="left" vertical="center"/>
    </xf>
    <xf numFmtId="0" fontId="54" fillId="0" borderId="7" xfId="0" applyFont="1" applyBorder="1" applyAlignment="1">
      <alignment horizontal="center" vertical="center" shrinkToFit="1" readingOrder="1"/>
    </xf>
    <xf numFmtId="0" fontId="54" fillId="0" borderId="0" xfId="0" applyFont="1" applyAlignment="1">
      <alignment horizontal="center" vertical="center" shrinkToFit="1" readingOrder="1"/>
    </xf>
    <xf numFmtId="0" fontId="54" fillId="0" borderId="7" xfId="0" applyFont="1" applyBorder="1" applyAlignment="1">
      <alignment horizontal="center" shrinkToFit="1" readingOrder="1"/>
    </xf>
    <xf numFmtId="0" fontId="52" fillId="0" borderId="0" xfId="0" applyFont="1" applyAlignment="1">
      <alignment horizontal="center" shrinkToFit="1" readingOrder="1"/>
    </xf>
    <xf numFmtId="0" fontId="52" fillId="0" borderId="0" xfId="0" applyFont="1" applyAlignment="1">
      <alignment horizontal="center" vertical="center" shrinkToFit="1" readingOrder="1"/>
    </xf>
    <xf numFmtId="0" fontId="62" fillId="0" borderId="0" xfId="0" applyFont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1"/>
    </xf>
    <xf numFmtId="0" fontId="59" fillId="0" borderId="0" xfId="1" applyFont="1">
      <alignment vertical="center"/>
    </xf>
    <xf numFmtId="0" fontId="69" fillId="0" borderId="0" xfId="1" applyFont="1">
      <alignment vertical="center"/>
    </xf>
    <xf numFmtId="0" fontId="64" fillId="0" borderId="0" xfId="0" applyFont="1" applyAlignment="1">
      <alignment horizontal="left" vertical="center"/>
    </xf>
    <xf numFmtId="0" fontId="70" fillId="0" borderId="0" xfId="1" applyFont="1" applyAlignment="1">
      <alignment horizontal="left" vertical="center"/>
    </xf>
    <xf numFmtId="0" fontId="70" fillId="0" borderId="0" xfId="1" applyFont="1">
      <alignment vertical="center"/>
    </xf>
    <xf numFmtId="0" fontId="71" fillId="0" borderId="0" xfId="0" applyFont="1" applyAlignment="1">
      <alignment horizontal="center" vertical="top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center"/>
    </xf>
    <xf numFmtId="0" fontId="75" fillId="0" borderId="5" xfId="0" applyFont="1" applyBorder="1" applyAlignment="1" applyProtection="1">
      <alignment horizontal="center" vertical="center" wrapText="1" readingOrder="1"/>
      <protection locked="0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shrinkToFit="1" readingOrder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shrinkToFit="1" readingOrder="1"/>
    </xf>
    <xf numFmtId="0" fontId="56" fillId="0" borderId="0" xfId="0" applyFont="1" applyAlignment="1">
      <alignment horizontal="center" shrinkToFit="1" readingOrder="1"/>
    </xf>
    <xf numFmtId="0" fontId="56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8" fillId="0" borderId="0" xfId="1" applyFont="1" applyAlignment="1">
      <alignment horizontal="left" vertical="center"/>
    </xf>
    <xf numFmtId="0" fontId="62" fillId="6" borderId="7" xfId="0" applyFont="1" applyFill="1" applyBorder="1" applyAlignment="1">
      <alignment horizontal="left" vertical="top" wrapText="1" shrinkToFit="1" readingOrder="1"/>
    </xf>
    <xf numFmtId="0" fontId="62" fillId="6" borderId="8" xfId="0" applyFont="1" applyFill="1" applyBorder="1" applyAlignment="1">
      <alignment horizontal="left" vertical="top" wrapText="1" shrinkToFit="1" readingOrder="1"/>
    </xf>
    <xf numFmtId="0" fontId="62" fillId="6" borderId="9" xfId="0" applyFont="1" applyFill="1" applyBorder="1" applyAlignment="1">
      <alignment horizontal="left" vertical="top" wrapText="1" shrinkToFit="1" readingOrder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4">
    <cellStyle name="一般" xfId="0" builtinId="0"/>
    <cellStyle name="一般 2" xfId="1" xr:uid="{13A8398C-062A-4295-9F26-34E8789B507C}"/>
    <cellStyle name="超連結" xfId="3" builtinId="8"/>
    <cellStyle name="超連結 2" xfId="2" xr:uid="{AF644068-9C78-42CD-96C0-AD9C8A3B8BDE}"/>
  </cellStyles>
  <dxfs count="1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-1</xdr:rowOff>
    </xdr:from>
    <xdr:to>
      <xdr:col>29</xdr:col>
      <xdr:colOff>578117</xdr:colOff>
      <xdr:row>17</xdr:row>
      <xdr:rowOff>83343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ECB863-675C-4BE6-8B47-1B983321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8700" y="266699"/>
          <a:ext cx="12865367" cy="724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161926</xdr:rowOff>
    </xdr:from>
    <xdr:to>
      <xdr:col>2</xdr:col>
      <xdr:colOff>23285</xdr:colOff>
      <xdr:row>9</xdr:row>
      <xdr:rowOff>295276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E81118-43E4-41CC-B077-460266D2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1926"/>
          <a:ext cx="6366935" cy="358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457200</xdr:colOff>
      <xdr:row>25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265CA4C-F10E-5ECA-467B-FF6AC0E3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10"/>
  <sheetViews>
    <sheetView workbookViewId="0">
      <selection activeCell="C10" sqref="C10"/>
    </sheetView>
  </sheetViews>
  <sheetFormatPr defaultColWidth="12" defaultRowHeight="25.5"/>
  <cols>
    <col min="1" max="1" width="3.69921875" style="53" customWidth="1"/>
    <col min="2" max="2" width="21.19921875" style="53" customWidth="1"/>
    <col min="3" max="3" width="93.796875" style="53" customWidth="1"/>
    <col min="4" max="16384" width="12" style="53"/>
  </cols>
  <sheetData>
    <row r="1" spans="2:3">
      <c r="B1" s="52" t="s">
        <v>160</v>
      </c>
      <c r="C1" s="52" t="s">
        <v>161</v>
      </c>
    </row>
    <row r="2" spans="2:3">
      <c r="B2" s="53" t="s">
        <v>162</v>
      </c>
      <c r="C2" s="78" t="s">
        <v>193</v>
      </c>
    </row>
    <row r="3" spans="2:3">
      <c r="B3" s="53" t="s">
        <v>163</v>
      </c>
      <c r="C3" s="78" t="s">
        <v>164</v>
      </c>
    </row>
    <row r="4" spans="2:3">
      <c r="B4" s="53" t="s">
        <v>165</v>
      </c>
      <c r="C4" s="54" t="str">
        <f xml:space="preserve"> "金剛般若波羅蜜經" &amp; TEXT(C7, "000")</f>
        <v>金剛般若波羅蜜經006</v>
      </c>
    </row>
    <row r="5" spans="2:3">
      <c r="B5" s="53" t="s">
        <v>166</v>
      </c>
      <c r="C5" s="61" t="s">
        <v>189</v>
      </c>
    </row>
    <row r="6" spans="2:3">
      <c r="B6" s="74" t="s">
        <v>194</v>
      </c>
      <c r="C6" s="76" t="s">
        <v>195</v>
      </c>
    </row>
    <row r="7" spans="2:3">
      <c r="B7" s="53" t="s">
        <v>245</v>
      </c>
      <c r="C7" s="97">
        <v>6</v>
      </c>
    </row>
    <row r="8" spans="2:3">
      <c r="B8" s="62" t="s">
        <v>159</v>
      </c>
      <c r="C8" s="76" t="b">
        <v>1</v>
      </c>
    </row>
    <row r="9" spans="2:3">
      <c r="B9" s="74" t="s">
        <v>190</v>
      </c>
      <c r="C9" s="77">
        <v>60</v>
      </c>
    </row>
    <row r="10" spans="2:3">
      <c r="B10" s="75" t="s">
        <v>191</v>
      </c>
      <c r="C10" s="77">
        <v>15</v>
      </c>
    </row>
  </sheetData>
  <phoneticPr fontId="1" type="noConversion"/>
  <dataValidations count="1">
    <dataValidation type="list" allowBlank="1" showInputMessage="1" showErrorMessage="1" sqref="C8" xr:uid="{DE2F131F-8109-4114-9E19-8669EDE792F8}">
      <formula1>"TRUE, 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B2:V242"/>
  <sheetViews>
    <sheetView showGridLines="0" tabSelected="1" topLeftCell="A74" zoomScale="50" zoomScaleNormal="50" workbookViewId="0">
      <selection activeCell="A85" sqref="A85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2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2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91"/>
      <c r="V2" s="59">
        <f xml:space="preserve"> LEN(V3)</f>
        <v>306</v>
      </c>
    </row>
    <row r="3" spans="2:22" s="64" customFormat="1" ht="60" customHeight="1">
      <c r="B3" s="63"/>
      <c r="C3" s="86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T3" s="92"/>
      <c r="V3" s="98" t="s">
        <v>282</v>
      </c>
    </row>
    <row r="4" spans="2:22" s="1" customFormat="1" ht="36" customHeight="1">
      <c r="B4" s="56"/>
      <c r="D4" s="84" t="s">
        <v>293</v>
      </c>
      <c r="E4" s="84" t="s">
        <v>295</v>
      </c>
      <c r="F4" s="84" t="s">
        <v>297</v>
      </c>
      <c r="G4" s="84" t="s">
        <v>299</v>
      </c>
      <c r="H4" s="84" t="s">
        <v>301</v>
      </c>
      <c r="I4" s="84" t="s">
        <v>303</v>
      </c>
      <c r="J4" s="84" t="s">
        <v>305</v>
      </c>
      <c r="K4" s="84"/>
      <c r="L4" s="84"/>
      <c r="M4" s="84"/>
      <c r="N4" s="84"/>
      <c r="O4" s="84"/>
      <c r="P4" s="84"/>
      <c r="Q4" s="84"/>
      <c r="R4" s="84"/>
      <c r="S4" s="93"/>
      <c r="V4" s="99"/>
    </row>
    <row r="5" spans="2:22" s="1" customFormat="1" ht="80.099999999999994" customHeight="1">
      <c r="B5" s="57">
        <v>1</v>
      </c>
      <c r="D5" s="80" t="s">
        <v>281</v>
      </c>
      <c r="E5" s="80" t="s">
        <v>262</v>
      </c>
      <c r="F5" s="80" t="s">
        <v>280</v>
      </c>
      <c r="G5" s="80" t="s">
        <v>192</v>
      </c>
      <c r="H5" s="80" t="s">
        <v>168</v>
      </c>
      <c r="I5" s="80" t="s">
        <v>169</v>
      </c>
      <c r="J5" s="80" t="s">
        <v>276</v>
      </c>
      <c r="K5" s="80"/>
      <c r="L5" s="80"/>
      <c r="M5" s="80"/>
      <c r="N5" s="80"/>
      <c r="O5" s="80"/>
      <c r="P5" s="80"/>
      <c r="Q5" s="80"/>
      <c r="R5" s="80"/>
      <c r="S5" s="94"/>
      <c r="V5" s="99"/>
    </row>
    <row r="6" spans="2:22" s="50" customFormat="1" ht="36" customHeight="1">
      <c r="B6" s="58"/>
      <c r="C6" s="87"/>
      <c r="D6" s="85" t="s">
        <v>294</v>
      </c>
      <c r="E6" s="85" t="s">
        <v>296</v>
      </c>
      <c r="F6" s="85" t="s">
        <v>298</v>
      </c>
      <c r="G6" s="85" t="s">
        <v>300</v>
      </c>
      <c r="H6" s="85" t="s">
        <v>302</v>
      </c>
      <c r="I6" s="85" t="s">
        <v>304</v>
      </c>
      <c r="J6" s="85" t="s">
        <v>306</v>
      </c>
      <c r="K6" s="85"/>
      <c r="L6" s="85"/>
      <c r="M6" s="85"/>
      <c r="N6" s="85"/>
      <c r="O6" s="85"/>
      <c r="P6" s="85"/>
      <c r="Q6" s="85"/>
      <c r="R6" s="85"/>
      <c r="S6" s="95"/>
      <c r="V6" s="99"/>
    </row>
    <row r="7" spans="2:22" s="49" customFormat="1" ht="60" customHeight="1">
      <c r="B7" s="55"/>
      <c r="C7" s="88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66"/>
      <c r="V7" s="99"/>
    </row>
    <row r="8" spans="2:22" s="1" customFormat="1" ht="36" customHeight="1">
      <c r="B8" s="56"/>
      <c r="D8" s="84"/>
      <c r="E8" s="84"/>
      <c r="F8" s="84" t="s">
        <v>307</v>
      </c>
      <c r="G8" s="84" t="s">
        <v>309</v>
      </c>
      <c r="H8" s="84" t="s">
        <v>311</v>
      </c>
      <c r="I8" s="84" t="s">
        <v>313</v>
      </c>
      <c r="J8" s="84" t="s">
        <v>315</v>
      </c>
      <c r="K8" s="84" t="s">
        <v>317</v>
      </c>
      <c r="L8" s="84"/>
      <c r="M8" s="84"/>
      <c r="N8" s="84" t="s">
        <v>319</v>
      </c>
      <c r="O8" s="84" t="s">
        <v>321</v>
      </c>
      <c r="P8" s="84"/>
      <c r="Q8" s="84" t="s">
        <v>323</v>
      </c>
      <c r="R8" s="84" t="s">
        <v>299</v>
      </c>
      <c r="S8" s="93"/>
      <c r="V8" s="99"/>
    </row>
    <row r="9" spans="2:22" s="1" customFormat="1" ht="80.099999999999994" customHeight="1">
      <c r="B9" s="57">
        <f>B5+1</f>
        <v>2</v>
      </c>
      <c r="D9" s="80" t="s">
        <v>223</v>
      </c>
      <c r="E9" s="80" t="s">
        <v>223</v>
      </c>
      <c r="F9" s="80" t="s">
        <v>182</v>
      </c>
      <c r="G9" s="80" t="s">
        <v>183</v>
      </c>
      <c r="H9" s="80" t="s">
        <v>184</v>
      </c>
      <c r="I9" s="80" t="s">
        <v>224</v>
      </c>
      <c r="J9" s="80" t="s">
        <v>221</v>
      </c>
      <c r="K9" s="80" t="s">
        <v>225</v>
      </c>
      <c r="L9" s="80" t="s">
        <v>219</v>
      </c>
      <c r="M9" s="80" t="s">
        <v>185</v>
      </c>
      <c r="N9" s="80" t="s">
        <v>198</v>
      </c>
      <c r="O9" s="80" t="s">
        <v>226</v>
      </c>
      <c r="P9" s="80" t="s">
        <v>186</v>
      </c>
      <c r="Q9" s="80" t="s">
        <v>260</v>
      </c>
      <c r="R9" s="80" t="s">
        <v>192</v>
      </c>
      <c r="S9" s="94"/>
      <c r="T9" s="92"/>
      <c r="V9" s="99"/>
    </row>
    <row r="10" spans="2:22" s="1" customFormat="1" ht="36" customHeight="1">
      <c r="B10" s="58"/>
      <c r="D10" s="85"/>
      <c r="E10" s="85"/>
      <c r="F10" s="85" t="s">
        <v>308</v>
      </c>
      <c r="G10" s="85" t="s">
        <v>310</v>
      </c>
      <c r="H10" s="85" t="s">
        <v>312</v>
      </c>
      <c r="I10" s="85" t="s">
        <v>314</v>
      </c>
      <c r="J10" s="85" t="s">
        <v>316</v>
      </c>
      <c r="K10" s="85" t="s">
        <v>318</v>
      </c>
      <c r="L10" s="85"/>
      <c r="M10" s="85"/>
      <c r="N10" s="85" t="s">
        <v>320</v>
      </c>
      <c r="O10" s="85" t="s">
        <v>322</v>
      </c>
      <c r="P10" s="85"/>
      <c r="Q10" s="85" t="s">
        <v>324</v>
      </c>
      <c r="R10" s="85" t="s">
        <v>300</v>
      </c>
      <c r="S10" s="96"/>
      <c r="V10" s="99"/>
    </row>
    <row r="11" spans="2:22" s="66" customFormat="1" ht="60" customHeight="1">
      <c r="B11" s="65"/>
      <c r="C11" s="89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V11" s="99"/>
    </row>
    <row r="12" spans="2:22" s="1" customFormat="1" ht="36" customHeight="1">
      <c r="B12" s="56"/>
      <c r="D12" s="84" t="s">
        <v>325</v>
      </c>
      <c r="E12" s="84" t="s">
        <v>327</v>
      </c>
      <c r="F12" s="84"/>
      <c r="G12" s="84" t="s">
        <v>329</v>
      </c>
      <c r="H12" s="84" t="s">
        <v>331</v>
      </c>
      <c r="I12" s="84" t="s">
        <v>333</v>
      </c>
      <c r="J12" s="84" t="s">
        <v>335</v>
      </c>
      <c r="K12" s="84" t="s">
        <v>317</v>
      </c>
      <c r="L12" s="84" t="s">
        <v>337</v>
      </c>
      <c r="M12" s="84" t="s">
        <v>339</v>
      </c>
      <c r="N12" s="84" t="s">
        <v>341</v>
      </c>
      <c r="O12" s="84"/>
      <c r="P12" s="84" t="s">
        <v>327</v>
      </c>
      <c r="Q12" s="84" t="s">
        <v>343</v>
      </c>
      <c r="R12" s="84" t="s">
        <v>295</v>
      </c>
      <c r="S12" s="93"/>
      <c r="V12" s="99"/>
    </row>
    <row r="13" spans="2:22" s="1" customFormat="1" ht="80.099999999999994" customHeight="1">
      <c r="B13" s="57">
        <f>B9+1</f>
        <v>3</v>
      </c>
      <c r="D13" s="80" t="s">
        <v>232</v>
      </c>
      <c r="E13" s="80" t="s">
        <v>230</v>
      </c>
      <c r="F13" s="80" t="s">
        <v>167</v>
      </c>
      <c r="G13" s="80" t="s">
        <v>210</v>
      </c>
      <c r="H13" s="80" t="s">
        <v>261</v>
      </c>
      <c r="I13" s="80" t="s">
        <v>231</v>
      </c>
      <c r="J13" s="80" t="s">
        <v>170</v>
      </c>
      <c r="K13" s="80" t="s">
        <v>225</v>
      </c>
      <c r="L13" s="80" t="s">
        <v>200</v>
      </c>
      <c r="M13" s="80" t="s">
        <v>283</v>
      </c>
      <c r="N13" s="80" t="s">
        <v>271</v>
      </c>
      <c r="O13" s="80" t="s">
        <v>167</v>
      </c>
      <c r="P13" s="80" t="s">
        <v>230</v>
      </c>
      <c r="Q13" s="80" t="s">
        <v>236</v>
      </c>
      <c r="R13" s="80" t="s">
        <v>262</v>
      </c>
      <c r="S13" s="94"/>
      <c r="V13" s="99"/>
    </row>
    <row r="14" spans="2:22" s="1" customFormat="1" ht="36" customHeight="1">
      <c r="B14" s="58"/>
      <c r="D14" s="85" t="s">
        <v>326</v>
      </c>
      <c r="E14" s="85" t="s">
        <v>328</v>
      </c>
      <c r="F14" s="85"/>
      <c r="G14" s="85" t="s">
        <v>330</v>
      </c>
      <c r="H14" s="85" t="s">
        <v>332</v>
      </c>
      <c r="I14" s="85" t="s">
        <v>334</v>
      </c>
      <c r="J14" s="85" t="s">
        <v>336</v>
      </c>
      <c r="K14" s="85" t="s">
        <v>318</v>
      </c>
      <c r="L14" s="85" t="s">
        <v>338</v>
      </c>
      <c r="M14" s="85" t="s">
        <v>340</v>
      </c>
      <c r="N14" s="85" t="s">
        <v>342</v>
      </c>
      <c r="O14" s="85"/>
      <c r="P14" s="85" t="s">
        <v>328</v>
      </c>
      <c r="Q14" s="85" t="s">
        <v>344</v>
      </c>
      <c r="R14" s="85" t="s">
        <v>296</v>
      </c>
      <c r="S14" s="96"/>
      <c r="V14" s="99"/>
    </row>
    <row r="15" spans="2:22" s="67" customFormat="1" ht="60" customHeight="1">
      <c r="B15" s="63"/>
      <c r="C15" s="90"/>
      <c r="D15" s="83" t="s">
        <v>246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V15" s="99"/>
    </row>
    <row r="16" spans="2:22" s="1" customFormat="1" ht="36" customHeight="1">
      <c r="B16" s="56"/>
      <c r="D16" s="84" t="s">
        <v>345</v>
      </c>
      <c r="E16" s="84"/>
      <c r="F16" s="84"/>
      <c r="G16" s="84" t="s">
        <v>315</v>
      </c>
      <c r="H16" s="84" t="s">
        <v>347</v>
      </c>
      <c r="I16" s="84" t="s">
        <v>307</v>
      </c>
      <c r="J16" s="84" t="s">
        <v>309</v>
      </c>
      <c r="K16" s="84" t="s">
        <v>311</v>
      </c>
      <c r="L16" s="84"/>
      <c r="M16" s="84"/>
      <c r="N16" s="84" t="s">
        <v>349</v>
      </c>
      <c r="O16" s="84" t="s">
        <v>351</v>
      </c>
      <c r="P16" s="84" t="s">
        <v>335</v>
      </c>
      <c r="Q16" s="84" t="s">
        <v>337</v>
      </c>
      <c r="R16" s="84"/>
      <c r="S16" s="93"/>
      <c r="V16" s="99"/>
    </row>
    <row r="17" spans="2:22" s="1" customFormat="1" ht="80.099999999999994" customHeight="1">
      <c r="B17" s="57">
        <f>B13+1</f>
        <v>4</v>
      </c>
      <c r="D17" s="80" t="s">
        <v>207</v>
      </c>
      <c r="E17" s="80" t="s">
        <v>228</v>
      </c>
      <c r="F17" s="80" t="s">
        <v>187</v>
      </c>
      <c r="G17" s="80" t="s">
        <v>221</v>
      </c>
      <c r="H17" s="80" t="s">
        <v>229</v>
      </c>
      <c r="I17" s="80" t="s">
        <v>182</v>
      </c>
      <c r="J17" s="80" t="s">
        <v>183</v>
      </c>
      <c r="K17" s="80" t="s">
        <v>184</v>
      </c>
      <c r="L17" s="80" t="s">
        <v>219</v>
      </c>
      <c r="M17" s="80" t="s">
        <v>185</v>
      </c>
      <c r="N17" s="80" t="s">
        <v>258</v>
      </c>
      <c r="O17" s="80" t="s">
        <v>244</v>
      </c>
      <c r="P17" s="80" t="s">
        <v>170</v>
      </c>
      <c r="Q17" s="80" t="s">
        <v>200</v>
      </c>
      <c r="R17" s="80" t="s">
        <v>186</v>
      </c>
      <c r="S17" s="94"/>
      <c r="V17" s="99"/>
    </row>
    <row r="18" spans="2:22" s="1" customFormat="1" ht="36" customHeight="1">
      <c r="B18" s="58"/>
      <c r="D18" s="85" t="s">
        <v>346</v>
      </c>
      <c r="E18" s="85"/>
      <c r="F18" s="85"/>
      <c r="G18" s="85" t="s">
        <v>316</v>
      </c>
      <c r="H18" s="85" t="s">
        <v>348</v>
      </c>
      <c r="I18" s="85" t="s">
        <v>308</v>
      </c>
      <c r="J18" s="85" t="s">
        <v>310</v>
      </c>
      <c r="K18" s="85" t="s">
        <v>312</v>
      </c>
      <c r="L18" s="85"/>
      <c r="M18" s="85"/>
      <c r="N18" s="85" t="s">
        <v>350</v>
      </c>
      <c r="O18" s="85" t="s">
        <v>352</v>
      </c>
      <c r="P18" s="85" t="s">
        <v>336</v>
      </c>
      <c r="Q18" s="85" t="s">
        <v>338</v>
      </c>
      <c r="R18" s="85"/>
      <c r="S18" s="96"/>
      <c r="V18" s="99"/>
    </row>
    <row r="19" spans="2:22" s="67" customFormat="1" ht="60" customHeight="1">
      <c r="B19" s="63"/>
      <c r="C19" s="90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V19" s="99"/>
    </row>
    <row r="20" spans="2:22" s="1" customFormat="1" ht="36" customHeight="1">
      <c r="B20" s="56"/>
      <c r="D20" s="84" t="s">
        <v>333</v>
      </c>
      <c r="E20" s="84" t="s">
        <v>353</v>
      </c>
      <c r="F20" s="84" t="s">
        <v>355</v>
      </c>
      <c r="G20" s="84" t="s">
        <v>357</v>
      </c>
      <c r="H20" s="84"/>
      <c r="I20" s="84" t="s">
        <v>357</v>
      </c>
      <c r="J20" s="84" t="s">
        <v>359</v>
      </c>
      <c r="K20" s="84" t="s">
        <v>361</v>
      </c>
      <c r="L20" s="84" t="s">
        <v>363</v>
      </c>
      <c r="M20" s="84"/>
      <c r="N20" s="84" t="s">
        <v>299</v>
      </c>
      <c r="O20" s="84" t="s">
        <v>365</v>
      </c>
      <c r="P20" s="84" t="s">
        <v>367</v>
      </c>
      <c r="Q20" s="84" t="s">
        <v>369</v>
      </c>
      <c r="R20" s="84" t="s">
        <v>371</v>
      </c>
      <c r="S20" s="93"/>
      <c r="V20" s="99"/>
    </row>
    <row r="21" spans="2:22" s="1" customFormat="1" ht="80.099999999999994" customHeight="1">
      <c r="B21" s="57">
        <f>B17+1</f>
        <v>5</v>
      </c>
      <c r="D21" s="80" t="s">
        <v>231</v>
      </c>
      <c r="E21" s="80" t="s">
        <v>241</v>
      </c>
      <c r="F21" s="80" t="s">
        <v>220</v>
      </c>
      <c r="G21" s="80" t="s">
        <v>284</v>
      </c>
      <c r="H21" s="80" t="s">
        <v>167</v>
      </c>
      <c r="I21" s="80" t="s">
        <v>284</v>
      </c>
      <c r="J21" s="80" t="s">
        <v>275</v>
      </c>
      <c r="K21" s="80" t="s">
        <v>272</v>
      </c>
      <c r="L21" s="80" t="s">
        <v>285</v>
      </c>
      <c r="M21" s="80" t="s">
        <v>167</v>
      </c>
      <c r="N21" s="80" t="s">
        <v>192</v>
      </c>
      <c r="O21" s="80" t="s">
        <v>270</v>
      </c>
      <c r="P21" s="80" t="s">
        <v>286</v>
      </c>
      <c r="Q21" s="80" t="s">
        <v>267</v>
      </c>
      <c r="R21" s="80" t="s">
        <v>252</v>
      </c>
      <c r="S21" s="94"/>
      <c r="V21" s="99"/>
    </row>
    <row r="22" spans="2:22" s="1" customFormat="1" ht="36" customHeight="1">
      <c r="B22" s="58"/>
      <c r="D22" s="85" t="s">
        <v>334</v>
      </c>
      <c r="E22" s="85" t="s">
        <v>354</v>
      </c>
      <c r="F22" s="85" t="s">
        <v>356</v>
      </c>
      <c r="G22" s="85" t="s">
        <v>358</v>
      </c>
      <c r="H22" s="85"/>
      <c r="I22" s="85" t="s">
        <v>358</v>
      </c>
      <c r="J22" s="85" t="s">
        <v>360</v>
      </c>
      <c r="K22" s="85" t="s">
        <v>362</v>
      </c>
      <c r="L22" s="85" t="s">
        <v>364</v>
      </c>
      <c r="M22" s="85"/>
      <c r="N22" s="85" t="s">
        <v>300</v>
      </c>
      <c r="O22" s="85" t="s">
        <v>366</v>
      </c>
      <c r="P22" s="85" t="s">
        <v>368</v>
      </c>
      <c r="Q22" s="85" t="s">
        <v>370</v>
      </c>
      <c r="R22" s="85" t="s">
        <v>372</v>
      </c>
      <c r="S22" s="96"/>
      <c r="V22" s="100"/>
    </row>
    <row r="23" spans="2:22" s="67" customFormat="1" ht="60" customHeight="1">
      <c r="B23" s="63"/>
      <c r="C23" s="90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V23" s="68"/>
    </row>
    <row r="24" spans="2:22" s="1" customFormat="1" ht="36" customHeight="1">
      <c r="B24" s="56"/>
      <c r="D24" s="84" t="s">
        <v>373</v>
      </c>
      <c r="E24" s="84"/>
      <c r="F24" s="84" t="s">
        <v>375</v>
      </c>
      <c r="G24" s="84" t="s">
        <v>377</v>
      </c>
      <c r="H24" s="84" t="s">
        <v>339</v>
      </c>
      <c r="I24" s="84" t="s">
        <v>341</v>
      </c>
      <c r="J24" s="84"/>
      <c r="K24" s="84" t="s">
        <v>379</v>
      </c>
      <c r="L24" s="84" t="s">
        <v>327</v>
      </c>
      <c r="M24" s="84" t="s">
        <v>295</v>
      </c>
      <c r="N24" s="84" t="s">
        <v>381</v>
      </c>
      <c r="O24" s="84"/>
      <c r="P24" s="84" t="s">
        <v>383</v>
      </c>
      <c r="Q24" s="84" t="s">
        <v>377</v>
      </c>
      <c r="R24" s="84" t="s">
        <v>385</v>
      </c>
      <c r="S24" s="93"/>
      <c r="V24" s="60"/>
    </row>
    <row r="25" spans="2:22" s="1" customFormat="1" ht="80.099999999999994" customHeight="1">
      <c r="B25" s="57">
        <f>B21+1</f>
        <v>6</v>
      </c>
      <c r="D25" s="80" t="s">
        <v>205</v>
      </c>
      <c r="E25" s="80" t="s">
        <v>167</v>
      </c>
      <c r="F25" s="80" t="s">
        <v>206</v>
      </c>
      <c r="G25" s="80" t="s">
        <v>253</v>
      </c>
      <c r="H25" s="80" t="s">
        <v>283</v>
      </c>
      <c r="I25" s="80" t="s">
        <v>271</v>
      </c>
      <c r="J25" s="80" t="s">
        <v>167</v>
      </c>
      <c r="K25" s="80" t="s">
        <v>259</v>
      </c>
      <c r="L25" s="80" t="s">
        <v>230</v>
      </c>
      <c r="M25" s="80" t="s">
        <v>262</v>
      </c>
      <c r="N25" s="80" t="s">
        <v>212</v>
      </c>
      <c r="O25" s="80" t="s">
        <v>167</v>
      </c>
      <c r="P25" s="80" t="s">
        <v>204</v>
      </c>
      <c r="Q25" s="80" t="s">
        <v>253</v>
      </c>
      <c r="R25" s="80" t="s">
        <v>199</v>
      </c>
      <c r="S25" s="94"/>
      <c r="V25" s="60"/>
    </row>
    <row r="26" spans="2:22" s="1" customFormat="1" ht="36" customHeight="1">
      <c r="B26" s="58"/>
      <c r="D26" s="85" t="s">
        <v>374</v>
      </c>
      <c r="E26" s="85"/>
      <c r="F26" s="85" t="s">
        <v>376</v>
      </c>
      <c r="G26" s="85" t="s">
        <v>378</v>
      </c>
      <c r="H26" s="85" t="s">
        <v>340</v>
      </c>
      <c r="I26" s="85" t="s">
        <v>342</v>
      </c>
      <c r="J26" s="85"/>
      <c r="K26" s="85" t="s">
        <v>380</v>
      </c>
      <c r="L26" s="85" t="s">
        <v>328</v>
      </c>
      <c r="M26" s="85" t="s">
        <v>296</v>
      </c>
      <c r="N26" s="85" t="s">
        <v>382</v>
      </c>
      <c r="O26" s="85"/>
      <c r="P26" s="85" t="s">
        <v>384</v>
      </c>
      <c r="Q26" s="85" t="s">
        <v>378</v>
      </c>
      <c r="R26" s="85" t="s">
        <v>386</v>
      </c>
      <c r="S26" s="96"/>
      <c r="U26" s="1" t="str">
        <f xml:space="preserve"> MID($N$26,3,1)</f>
        <v>ㆬ</v>
      </c>
      <c r="V26" s="60"/>
    </row>
    <row r="27" spans="2:22" s="67" customFormat="1" ht="60" customHeight="1">
      <c r="B27" s="63"/>
      <c r="C27" s="9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U27" s="67" t="str">
        <f xml:space="preserve"> MID($N$26,4,1)</f>
        <v>ˉ</v>
      </c>
      <c r="V27" s="68"/>
    </row>
    <row r="28" spans="2:22" s="1" customFormat="1" ht="36" customHeight="1">
      <c r="B28" s="56"/>
      <c r="D28" s="84" t="s">
        <v>343</v>
      </c>
      <c r="E28" s="84"/>
      <c r="F28" s="84" t="s">
        <v>387</v>
      </c>
      <c r="G28" s="84" t="s">
        <v>389</v>
      </c>
      <c r="H28" s="84" t="s">
        <v>335</v>
      </c>
      <c r="I28" s="84" t="s">
        <v>391</v>
      </c>
      <c r="J28" s="84"/>
      <c r="K28" s="84" t="s">
        <v>393</v>
      </c>
      <c r="L28" s="84" t="s">
        <v>375</v>
      </c>
      <c r="M28" s="84" t="s">
        <v>395</v>
      </c>
      <c r="N28" s="84" t="s">
        <v>315</v>
      </c>
      <c r="O28" s="84"/>
      <c r="P28" s="84" t="s">
        <v>397</v>
      </c>
      <c r="Q28" s="84" t="s">
        <v>315</v>
      </c>
      <c r="R28" s="84"/>
      <c r="S28" s="93"/>
      <c r="U28" s="67" t="str">
        <f t="shared" ref="U28:U32" si="0" xml:space="preserve"> MID($N$26,4,1)</f>
        <v>ˉ</v>
      </c>
      <c r="V28" s="60"/>
    </row>
    <row r="29" spans="2:22" s="1" customFormat="1" ht="80.099999999999994" customHeight="1">
      <c r="B29" s="57">
        <f>B25+1</f>
        <v>7</v>
      </c>
      <c r="D29" s="80" t="s">
        <v>236</v>
      </c>
      <c r="E29" s="80" t="s">
        <v>171</v>
      </c>
      <c r="F29" s="80" t="s">
        <v>202</v>
      </c>
      <c r="G29" s="80" t="s">
        <v>250</v>
      </c>
      <c r="H29" s="80" t="s">
        <v>170</v>
      </c>
      <c r="I29" s="80" t="s">
        <v>197</v>
      </c>
      <c r="J29" s="80" t="s">
        <v>167</v>
      </c>
      <c r="K29" s="80" t="s">
        <v>207</v>
      </c>
      <c r="L29" s="80" t="s">
        <v>206</v>
      </c>
      <c r="M29" s="80" t="s">
        <v>213</v>
      </c>
      <c r="N29" s="80" t="s">
        <v>221</v>
      </c>
      <c r="O29" s="80" t="s">
        <v>196</v>
      </c>
      <c r="P29" s="80" t="s">
        <v>255</v>
      </c>
      <c r="Q29" s="80" t="s">
        <v>221</v>
      </c>
      <c r="R29" s="80" t="s">
        <v>196</v>
      </c>
      <c r="S29" s="94"/>
      <c r="U29" s="67" t="str">
        <f t="shared" si="0"/>
        <v>ˉ</v>
      </c>
      <c r="V29" s="60"/>
    </row>
    <row r="30" spans="2:22" s="1" customFormat="1" ht="36" customHeight="1">
      <c r="B30" s="58"/>
      <c r="D30" s="85" t="s">
        <v>344</v>
      </c>
      <c r="E30" s="85"/>
      <c r="F30" s="85" t="s">
        <v>388</v>
      </c>
      <c r="G30" s="85" t="s">
        <v>390</v>
      </c>
      <c r="H30" s="85" t="s">
        <v>336</v>
      </c>
      <c r="I30" s="85" t="s">
        <v>392</v>
      </c>
      <c r="J30" s="85"/>
      <c r="K30" s="85" t="s">
        <v>394</v>
      </c>
      <c r="L30" s="85" t="s">
        <v>376</v>
      </c>
      <c r="M30" s="85" t="s">
        <v>396</v>
      </c>
      <c r="N30" s="85" t="s">
        <v>316</v>
      </c>
      <c r="O30" s="85"/>
      <c r="P30" s="85" t="s">
        <v>398</v>
      </c>
      <c r="Q30" s="85" t="s">
        <v>316</v>
      </c>
      <c r="R30" s="85"/>
      <c r="S30" s="96"/>
      <c r="U30" s="67" t="str">
        <f t="shared" si="0"/>
        <v>ˉ</v>
      </c>
      <c r="V30" s="60"/>
    </row>
    <row r="31" spans="2:22" s="67" customFormat="1" ht="60" customHeight="1">
      <c r="B31" s="63"/>
      <c r="C31" s="90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U31" s="67" t="str">
        <f t="shared" si="0"/>
        <v>ˉ</v>
      </c>
      <c r="V31" s="68"/>
    </row>
    <row r="32" spans="2:22" s="1" customFormat="1" ht="36" customHeight="1">
      <c r="B32" s="56"/>
      <c r="D32" s="84" t="s">
        <v>399</v>
      </c>
      <c r="E32" s="84" t="s">
        <v>401</v>
      </c>
      <c r="F32" s="84" t="s">
        <v>359</v>
      </c>
      <c r="G32" s="84" t="s">
        <v>315</v>
      </c>
      <c r="H32" s="84" t="s">
        <v>403</v>
      </c>
      <c r="I32" s="84" t="s">
        <v>325</v>
      </c>
      <c r="J32" s="84" t="s">
        <v>405</v>
      </c>
      <c r="K32" s="84" t="s">
        <v>407</v>
      </c>
      <c r="L32" s="84"/>
      <c r="M32" s="84" t="s">
        <v>383</v>
      </c>
      <c r="N32" s="84" t="s">
        <v>375</v>
      </c>
      <c r="O32" s="84" t="s">
        <v>409</v>
      </c>
      <c r="P32" s="84" t="s">
        <v>411</v>
      </c>
      <c r="Q32" s="84" t="s">
        <v>413</v>
      </c>
      <c r="R32" s="84" t="s">
        <v>415</v>
      </c>
      <c r="S32" s="93"/>
      <c r="U32" s="67" t="str">
        <f t="shared" si="0"/>
        <v>ˉ</v>
      </c>
      <c r="V32" s="60"/>
    </row>
    <row r="33" spans="2:22" s="1" customFormat="1" ht="80.099999999999994" customHeight="1">
      <c r="B33" s="57">
        <f>B29+1</f>
        <v>8</v>
      </c>
      <c r="D33" s="80" t="s">
        <v>218</v>
      </c>
      <c r="E33" s="80" t="s">
        <v>269</v>
      </c>
      <c r="F33" s="80" t="s">
        <v>275</v>
      </c>
      <c r="G33" s="80" t="s">
        <v>221</v>
      </c>
      <c r="H33" s="80" t="s">
        <v>235</v>
      </c>
      <c r="I33" s="80" t="s">
        <v>248</v>
      </c>
      <c r="J33" s="80" t="s">
        <v>215</v>
      </c>
      <c r="K33" s="80" t="s">
        <v>287</v>
      </c>
      <c r="L33" s="80" t="s">
        <v>167</v>
      </c>
      <c r="M33" s="80" t="s">
        <v>234</v>
      </c>
      <c r="N33" s="80" t="s">
        <v>206</v>
      </c>
      <c r="O33" s="80" t="s">
        <v>208</v>
      </c>
      <c r="P33" s="80" t="s">
        <v>217</v>
      </c>
      <c r="Q33" s="80" t="s">
        <v>251</v>
      </c>
      <c r="R33" s="80" t="s">
        <v>273</v>
      </c>
      <c r="S33" s="94"/>
      <c r="V33" s="60"/>
    </row>
    <row r="34" spans="2:22" s="1" customFormat="1" ht="36" customHeight="1">
      <c r="B34" s="58"/>
      <c r="D34" s="85" t="s">
        <v>400</v>
      </c>
      <c r="E34" s="85" t="s">
        <v>402</v>
      </c>
      <c r="F34" s="85" t="s">
        <v>360</v>
      </c>
      <c r="G34" s="85" t="s">
        <v>316</v>
      </c>
      <c r="H34" s="85" t="s">
        <v>404</v>
      </c>
      <c r="I34" s="85" t="s">
        <v>326</v>
      </c>
      <c r="J34" s="85" t="s">
        <v>406</v>
      </c>
      <c r="K34" s="85" t="s">
        <v>408</v>
      </c>
      <c r="L34" s="85"/>
      <c r="M34" s="85" t="s">
        <v>384</v>
      </c>
      <c r="N34" s="85" t="s">
        <v>376</v>
      </c>
      <c r="O34" s="85" t="s">
        <v>410</v>
      </c>
      <c r="P34" s="85" t="s">
        <v>412</v>
      </c>
      <c r="Q34" s="85" t="s">
        <v>414</v>
      </c>
      <c r="R34" s="85" t="s">
        <v>416</v>
      </c>
      <c r="S34" s="96"/>
      <c r="V34" s="60"/>
    </row>
    <row r="35" spans="2:22" s="67" customFormat="1" ht="60" customHeight="1">
      <c r="B35" s="63"/>
      <c r="C35" s="90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V35" s="68"/>
    </row>
    <row r="36" spans="2:22" s="1" customFormat="1" ht="36" customHeight="1">
      <c r="B36" s="56"/>
      <c r="D36" s="84" t="s">
        <v>315</v>
      </c>
      <c r="E36" s="84" t="s">
        <v>417</v>
      </c>
      <c r="F36" s="84" t="s">
        <v>325</v>
      </c>
      <c r="G36" s="84" t="s">
        <v>419</v>
      </c>
      <c r="H36" s="84" t="s">
        <v>405</v>
      </c>
      <c r="I36" s="84" t="s">
        <v>407</v>
      </c>
      <c r="J36" s="84"/>
      <c r="K36" s="84" t="s">
        <v>331</v>
      </c>
      <c r="L36" s="84" t="s">
        <v>335</v>
      </c>
      <c r="M36" s="84" t="s">
        <v>339</v>
      </c>
      <c r="N36" s="84" t="s">
        <v>341</v>
      </c>
      <c r="O36" s="84"/>
      <c r="P36" s="84" t="s">
        <v>421</v>
      </c>
      <c r="Q36" s="84" t="s">
        <v>423</v>
      </c>
      <c r="R36" s="84" t="s">
        <v>395</v>
      </c>
      <c r="S36" s="93"/>
      <c r="V36" s="60"/>
    </row>
    <row r="37" spans="2:22" s="1" customFormat="1" ht="80.099999999999994" customHeight="1">
      <c r="B37" s="57">
        <f>B33+1</f>
        <v>9</v>
      </c>
      <c r="D37" s="80" t="s">
        <v>221</v>
      </c>
      <c r="E37" s="80" t="s">
        <v>188</v>
      </c>
      <c r="F37" s="80" t="s">
        <v>248</v>
      </c>
      <c r="G37" s="80" t="s">
        <v>209</v>
      </c>
      <c r="H37" s="80" t="s">
        <v>215</v>
      </c>
      <c r="I37" s="80" t="s">
        <v>287</v>
      </c>
      <c r="J37" s="80" t="s">
        <v>171</v>
      </c>
      <c r="K37" s="80" t="s">
        <v>261</v>
      </c>
      <c r="L37" s="80" t="s">
        <v>170</v>
      </c>
      <c r="M37" s="80" t="s">
        <v>283</v>
      </c>
      <c r="N37" s="80" t="s">
        <v>271</v>
      </c>
      <c r="O37" s="80" t="s">
        <v>167</v>
      </c>
      <c r="P37" s="80" t="s">
        <v>263</v>
      </c>
      <c r="Q37" s="80" t="s">
        <v>264</v>
      </c>
      <c r="R37" s="80" t="s">
        <v>213</v>
      </c>
      <c r="S37" s="94"/>
      <c r="V37" s="60"/>
    </row>
    <row r="38" spans="2:22" s="1" customFormat="1" ht="36" customHeight="1">
      <c r="B38" s="58"/>
      <c r="D38" s="85" t="s">
        <v>316</v>
      </c>
      <c r="E38" s="85" t="s">
        <v>418</v>
      </c>
      <c r="F38" s="85" t="s">
        <v>326</v>
      </c>
      <c r="G38" s="85" t="s">
        <v>420</v>
      </c>
      <c r="H38" s="85" t="s">
        <v>406</v>
      </c>
      <c r="I38" s="85" t="s">
        <v>408</v>
      </c>
      <c r="J38" s="85"/>
      <c r="K38" s="85" t="s">
        <v>332</v>
      </c>
      <c r="L38" s="85" t="s">
        <v>336</v>
      </c>
      <c r="M38" s="85" t="s">
        <v>340</v>
      </c>
      <c r="N38" s="85" t="s">
        <v>342</v>
      </c>
      <c r="O38" s="85"/>
      <c r="P38" s="85" t="s">
        <v>422</v>
      </c>
      <c r="Q38" s="85" t="s">
        <v>424</v>
      </c>
      <c r="R38" s="85" t="s">
        <v>396</v>
      </c>
      <c r="S38" s="96"/>
      <c r="V38" s="60"/>
    </row>
    <row r="39" spans="2:22" s="67" customFormat="1" ht="60" customHeight="1">
      <c r="B39" s="63"/>
      <c r="C39" s="90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V39" s="68"/>
    </row>
    <row r="40" spans="2:22" s="1" customFormat="1" ht="36" customHeight="1">
      <c r="B40" s="56"/>
      <c r="D40" s="84" t="s">
        <v>425</v>
      </c>
      <c r="E40" s="84" t="s">
        <v>327</v>
      </c>
      <c r="F40" s="84" t="s">
        <v>427</v>
      </c>
      <c r="G40" s="84" t="s">
        <v>295</v>
      </c>
      <c r="H40" s="84" t="s">
        <v>373</v>
      </c>
      <c r="I40" s="84"/>
      <c r="J40" s="84" t="s">
        <v>307</v>
      </c>
      <c r="K40" s="84" t="s">
        <v>309</v>
      </c>
      <c r="L40" s="84" t="s">
        <v>311</v>
      </c>
      <c r="M40" s="84"/>
      <c r="N40" s="84" t="s">
        <v>333</v>
      </c>
      <c r="O40" s="84" t="s">
        <v>353</v>
      </c>
      <c r="P40" s="84" t="s">
        <v>429</v>
      </c>
      <c r="Q40" s="84" t="s">
        <v>389</v>
      </c>
      <c r="R40" s="84" t="s">
        <v>429</v>
      </c>
      <c r="S40" s="93"/>
      <c r="V40" s="60"/>
    </row>
    <row r="41" spans="2:22" s="1" customFormat="1" ht="80.099999999999994" customHeight="1">
      <c r="B41" s="57">
        <f>B37+1</f>
        <v>10</v>
      </c>
      <c r="D41" s="80" t="s">
        <v>257</v>
      </c>
      <c r="E41" s="80" t="s">
        <v>230</v>
      </c>
      <c r="F41" s="80" t="s">
        <v>265</v>
      </c>
      <c r="G41" s="80" t="s">
        <v>262</v>
      </c>
      <c r="H41" s="80" t="s">
        <v>205</v>
      </c>
      <c r="I41" s="80" t="s">
        <v>233</v>
      </c>
      <c r="J41" s="80" t="s">
        <v>182</v>
      </c>
      <c r="K41" s="80" t="s">
        <v>183</v>
      </c>
      <c r="L41" s="80" t="s">
        <v>184</v>
      </c>
      <c r="M41" s="80" t="s">
        <v>186</v>
      </c>
      <c r="N41" s="80" t="s">
        <v>231</v>
      </c>
      <c r="O41" s="80" t="s">
        <v>241</v>
      </c>
      <c r="P41" s="80" t="s">
        <v>249</v>
      </c>
      <c r="Q41" s="80" t="s">
        <v>250</v>
      </c>
      <c r="R41" s="80" t="s">
        <v>249</v>
      </c>
      <c r="S41" s="94"/>
      <c r="V41" s="60"/>
    </row>
    <row r="42" spans="2:22" s="1" customFormat="1" ht="36" customHeight="1">
      <c r="B42" s="58"/>
      <c r="D42" s="85" t="s">
        <v>426</v>
      </c>
      <c r="E42" s="85" t="s">
        <v>328</v>
      </c>
      <c r="F42" s="85" t="s">
        <v>428</v>
      </c>
      <c r="G42" s="85" t="s">
        <v>296</v>
      </c>
      <c r="H42" s="85" t="s">
        <v>374</v>
      </c>
      <c r="I42" s="85"/>
      <c r="J42" s="85" t="s">
        <v>308</v>
      </c>
      <c r="K42" s="85" t="s">
        <v>310</v>
      </c>
      <c r="L42" s="85" t="s">
        <v>312</v>
      </c>
      <c r="M42" s="85"/>
      <c r="N42" s="85" t="s">
        <v>334</v>
      </c>
      <c r="O42" s="85" t="s">
        <v>354</v>
      </c>
      <c r="P42" s="85" t="s">
        <v>430</v>
      </c>
      <c r="Q42" s="85" t="s">
        <v>390</v>
      </c>
      <c r="R42" s="85" t="s">
        <v>430</v>
      </c>
      <c r="S42" s="96"/>
      <c r="V42" s="60"/>
    </row>
    <row r="43" spans="2:22" s="67" customFormat="1" ht="60" customHeight="1">
      <c r="B43" s="63"/>
      <c r="C43" s="90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V43" s="68"/>
    </row>
    <row r="44" spans="2:22" s="1" customFormat="1" ht="36" customHeight="1">
      <c r="B44" s="56"/>
      <c r="D44" s="84" t="s">
        <v>431</v>
      </c>
      <c r="E44" s="84"/>
      <c r="F44" s="84" t="s">
        <v>335</v>
      </c>
      <c r="G44" s="84" t="s">
        <v>419</v>
      </c>
      <c r="H44" s="84" t="s">
        <v>325</v>
      </c>
      <c r="I44" s="84" t="s">
        <v>327</v>
      </c>
      <c r="J44" s="84" t="s">
        <v>329</v>
      </c>
      <c r="K44" s="84" t="s">
        <v>333</v>
      </c>
      <c r="L44" s="84" t="s">
        <v>335</v>
      </c>
      <c r="M44" s="84" t="s">
        <v>409</v>
      </c>
      <c r="N44" s="84" t="s">
        <v>411</v>
      </c>
      <c r="O44" s="84" t="s">
        <v>371</v>
      </c>
      <c r="P44" s="84" t="s">
        <v>329</v>
      </c>
      <c r="Q44" s="84"/>
      <c r="R44" s="84" t="s">
        <v>433</v>
      </c>
      <c r="S44" s="93"/>
      <c r="V44" s="60"/>
    </row>
    <row r="45" spans="2:22" s="1" customFormat="1" ht="80.099999999999994" customHeight="1">
      <c r="B45" s="57">
        <f>B41+1</f>
        <v>11</v>
      </c>
      <c r="D45" s="80" t="s">
        <v>256</v>
      </c>
      <c r="E45" s="80" t="s">
        <v>167</v>
      </c>
      <c r="F45" s="80" t="s">
        <v>170</v>
      </c>
      <c r="G45" s="80" t="s">
        <v>209</v>
      </c>
      <c r="H45" s="80" t="s">
        <v>232</v>
      </c>
      <c r="I45" s="80" t="s">
        <v>230</v>
      </c>
      <c r="J45" s="80" t="s">
        <v>210</v>
      </c>
      <c r="K45" s="80" t="s">
        <v>231</v>
      </c>
      <c r="L45" s="80" t="s">
        <v>170</v>
      </c>
      <c r="M45" s="80" t="s">
        <v>208</v>
      </c>
      <c r="N45" s="80" t="s">
        <v>217</v>
      </c>
      <c r="O45" s="80" t="s">
        <v>252</v>
      </c>
      <c r="P45" s="80" t="s">
        <v>254</v>
      </c>
      <c r="Q45" s="80" t="s">
        <v>171</v>
      </c>
      <c r="R45" s="80" t="s">
        <v>227</v>
      </c>
      <c r="S45" s="94"/>
      <c r="V45" s="60"/>
    </row>
    <row r="46" spans="2:22" s="1" customFormat="1" ht="36" customHeight="1">
      <c r="B46" s="58"/>
      <c r="D46" s="85" t="s">
        <v>432</v>
      </c>
      <c r="E46" s="85"/>
      <c r="F46" s="85" t="s">
        <v>336</v>
      </c>
      <c r="G46" s="85" t="s">
        <v>420</v>
      </c>
      <c r="H46" s="85" t="s">
        <v>326</v>
      </c>
      <c r="I46" s="85" t="s">
        <v>328</v>
      </c>
      <c r="J46" s="85" t="s">
        <v>330</v>
      </c>
      <c r="K46" s="85" t="s">
        <v>334</v>
      </c>
      <c r="L46" s="85" t="s">
        <v>336</v>
      </c>
      <c r="M46" s="85" t="s">
        <v>410</v>
      </c>
      <c r="N46" s="85" t="s">
        <v>412</v>
      </c>
      <c r="O46" s="85" t="s">
        <v>372</v>
      </c>
      <c r="P46" s="85" t="s">
        <v>330</v>
      </c>
      <c r="Q46" s="85"/>
      <c r="R46" s="85" t="s">
        <v>434</v>
      </c>
      <c r="S46" s="96"/>
      <c r="V46" s="60"/>
    </row>
    <row r="47" spans="2:22" s="67" customFormat="1" ht="60" customHeight="1">
      <c r="B47" s="63"/>
      <c r="C47" s="90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V47" s="68"/>
    </row>
    <row r="48" spans="2:22" s="1" customFormat="1" ht="36" customHeight="1">
      <c r="B48" s="56"/>
      <c r="D48" s="84" t="s">
        <v>383</v>
      </c>
      <c r="E48" s="84" t="s">
        <v>435</v>
      </c>
      <c r="F48" s="84"/>
      <c r="G48" s="84" t="s">
        <v>335</v>
      </c>
      <c r="H48" s="84" t="s">
        <v>419</v>
      </c>
      <c r="I48" s="84" t="s">
        <v>325</v>
      </c>
      <c r="J48" s="84" t="s">
        <v>327</v>
      </c>
      <c r="K48" s="84"/>
      <c r="L48" s="84" t="s">
        <v>409</v>
      </c>
      <c r="M48" s="84" t="s">
        <v>437</v>
      </c>
      <c r="N48" s="84" t="s">
        <v>359</v>
      </c>
      <c r="O48" s="84" t="s">
        <v>439</v>
      </c>
      <c r="P48" s="84"/>
      <c r="Q48" s="84" t="s">
        <v>391</v>
      </c>
      <c r="R48" s="84" t="s">
        <v>439</v>
      </c>
      <c r="S48" s="93"/>
      <c r="V48" s="60"/>
    </row>
    <row r="49" spans="2:22" s="1" customFormat="1" ht="80.099999999999994" customHeight="1">
      <c r="B49" s="57">
        <f>B45+1</f>
        <v>12</v>
      </c>
      <c r="D49" s="80" t="s">
        <v>204</v>
      </c>
      <c r="E49" s="80" t="s">
        <v>211</v>
      </c>
      <c r="F49" s="80" t="s">
        <v>228</v>
      </c>
      <c r="G49" s="80" t="s">
        <v>170</v>
      </c>
      <c r="H49" s="80" t="s">
        <v>209</v>
      </c>
      <c r="I49" s="80" t="s">
        <v>232</v>
      </c>
      <c r="J49" s="80" t="s">
        <v>230</v>
      </c>
      <c r="K49" s="80" t="s">
        <v>167</v>
      </c>
      <c r="L49" s="80" t="s">
        <v>208</v>
      </c>
      <c r="M49" s="80" t="s">
        <v>266</v>
      </c>
      <c r="N49" s="80" t="s">
        <v>203</v>
      </c>
      <c r="O49" s="80" t="s">
        <v>237</v>
      </c>
      <c r="P49" s="80" t="s">
        <v>196</v>
      </c>
      <c r="Q49" s="80" t="s">
        <v>197</v>
      </c>
      <c r="R49" s="80" t="s">
        <v>237</v>
      </c>
      <c r="S49" s="94"/>
      <c r="V49" s="60"/>
    </row>
    <row r="50" spans="2:22" s="1" customFormat="1" ht="36" customHeight="1">
      <c r="B50" s="58"/>
      <c r="D50" s="85" t="s">
        <v>384</v>
      </c>
      <c r="E50" s="85" t="s">
        <v>436</v>
      </c>
      <c r="F50" s="85"/>
      <c r="G50" s="85" t="s">
        <v>336</v>
      </c>
      <c r="H50" s="85" t="s">
        <v>420</v>
      </c>
      <c r="I50" s="85" t="s">
        <v>326</v>
      </c>
      <c r="J50" s="85" t="s">
        <v>328</v>
      </c>
      <c r="K50" s="85"/>
      <c r="L50" s="85" t="s">
        <v>410</v>
      </c>
      <c r="M50" s="85" t="s">
        <v>438</v>
      </c>
      <c r="N50" s="85" t="s">
        <v>360</v>
      </c>
      <c r="O50" s="85" t="s">
        <v>440</v>
      </c>
      <c r="P50" s="85"/>
      <c r="Q50" s="85" t="s">
        <v>392</v>
      </c>
      <c r="R50" s="85" t="s">
        <v>440</v>
      </c>
      <c r="S50" s="96"/>
      <c r="V50" s="60"/>
    </row>
    <row r="51" spans="2:22" s="67" customFormat="1" ht="60" customHeight="1">
      <c r="B51" s="63"/>
      <c r="C51" s="90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V51" s="68"/>
    </row>
    <row r="52" spans="2:22" s="1" customFormat="1" ht="36" customHeight="1">
      <c r="B52" s="56"/>
      <c r="D52" s="84"/>
      <c r="E52" s="84" t="s">
        <v>325</v>
      </c>
      <c r="F52" s="84" t="s">
        <v>327</v>
      </c>
      <c r="G52" s="84" t="s">
        <v>439</v>
      </c>
      <c r="H52" s="84"/>
      <c r="I52" s="84" t="s">
        <v>441</v>
      </c>
      <c r="J52" s="84" t="s">
        <v>373</v>
      </c>
      <c r="K52" s="84" t="s">
        <v>439</v>
      </c>
      <c r="L52" s="84"/>
      <c r="M52" s="84" t="s">
        <v>409</v>
      </c>
      <c r="N52" s="84" t="s">
        <v>443</v>
      </c>
      <c r="O52" s="84" t="s">
        <v>439</v>
      </c>
      <c r="P52" s="84"/>
      <c r="Q52" s="84" t="s">
        <v>445</v>
      </c>
      <c r="R52" s="84" t="s">
        <v>409</v>
      </c>
      <c r="S52" s="93"/>
      <c r="V52" s="60"/>
    </row>
    <row r="53" spans="2:22" s="1" customFormat="1" ht="80.099999999999994" customHeight="1">
      <c r="B53" s="57">
        <f>B49+1</f>
        <v>13</v>
      </c>
      <c r="D53" s="80" t="s">
        <v>196</v>
      </c>
      <c r="E53" s="80" t="s">
        <v>232</v>
      </c>
      <c r="F53" s="80" t="s">
        <v>230</v>
      </c>
      <c r="G53" s="81" t="s">
        <v>237</v>
      </c>
      <c r="H53" s="81" t="s">
        <v>196</v>
      </c>
      <c r="I53" s="80" t="s">
        <v>238</v>
      </c>
      <c r="J53" s="80" t="s">
        <v>205</v>
      </c>
      <c r="K53" s="80" t="s">
        <v>237</v>
      </c>
      <c r="L53" s="80" t="s">
        <v>196</v>
      </c>
      <c r="M53" s="80" t="s">
        <v>208</v>
      </c>
      <c r="N53" s="80" t="s">
        <v>240</v>
      </c>
      <c r="O53" s="80" t="s">
        <v>237</v>
      </c>
      <c r="P53" s="80" t="s">
        <v>167</v>
      </c>
      <c r="Q53" s="80" t="s">
        <v>216</v>
      </c>
      <c r="R53" s="80" t="s">
        <v>208</v>
      </c>
      <c r="S53" s="94"/>
      <c r="V53" s="60"/>
    </row>
    <row r="54" spans="2:22" s="1" customFormat="1" ht="36" customHeight="1">
      <c r="B54" s="58"/>
      <c r="D54" s="85"/>
      <c r="E54" s="85" t="s">
        <v>326</v>
      </c>
      <c r="F54" s="85" t="s">
        <v>328</v>
      </c>
      <c r="G54" s="85" t="s">
        <v>440</v>
      </c>
      <c r="H54" s="85"/>
      <c r="I54" s="85" t="s">
        <v>442</v>
      </c>
      <c r="J54" s="85" t="s">
        <v>374</v>
      </c>
      <c r="K54" s="85" t="s">
        <v>440</v>
      </c>
      <c r="L54" s="85"/>
      <c r="M54" s="85" t="s">
        <v>410</v>
      </c>
      <c r="N54" s="85" t="s">
        <v>444</v>
      </c>
      <c r="O54" s="85" t="s">
        <v>440</v>
      </c>
      <c r="P54" s="85"/>
      <c r="Q54" s="85" t="s">
        <v>446</v>
      </c>
      <c r="R54" s="85" t="s">
        <v>410</v>
      </c>
      <c r="S54" s="96"/>
      <c r="V54" s="60"/>
    </row>
    <row r="55" spans="2:22" s="67" customFormat="1" ht="60" customHeight="1">
      <c r="B55" s="63"/>
      <c r="C55" s="90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V55" s="68"/>
    </row>
    <row r="56" spans="2:22" s="1" customFormat="1" ht="36" customHeight="1">
      <c r="B56" s="56"/>
      <c r="D56" s="84" t="s">
        <v>447</v>
      </c>
      <c r="E56" s="84" t="s">
        <v>443</v>
      </c>
      <c r="F56" s="84" t="s">
        <v>439</v>
      </c>
      <c r="G56" s="84"/>
      <c r="H56" s="84" t="s">
        <v>433</v>
      </c>
      <c r="I56" s="84" t="s">
        <v>383</v>
      </c>
      <c r="J56" s="84" t="s">
        <v>435</v>
      </c>
      <c r="K56" s="84"/>
      <c r="L56" s="84" t="s">
        <v>335</v>
      </c>
      <c r="M56" s="84" t="s">
        <v>419</v>
      </c>
      <c r="N56" s="84" t="s">
        <v>325</v>
      </c>
      <c r="O56" s="84" t="s">
        <v>327</v>
      </c>
      <c r="P56" s="84" t="s">
        <v>449</v>
      </c>
      <c r="Q56" s="84" t="s">
        <v>381</v>
      </c>
      <c r="R56" s="84" t="s">
        <v>377</v>
      </c>
      <c r="S56" s="93"/>
      <c r="V56" s="60"/>
    </row>
    <row r="57" spans="2:22" s="1" customFormat="1" ht="80.099999999999994" customHeight="1">
      <c r="B57" s="57">
        <f>B53+1</f>
        <v>14</v>
      </c>
      <c r="D57" s="80" t="s">
        <v>239</v>
      </c>
      <c r="E57" s="80" t="s">
        <v>240</v>
      </c>
      <c r="F57" s="80" t="s">
        <v>237</v>
      </c>
      <c r="G57" s="81" t="s">
        <v>171</v>
      </c>
      <c r="H57" s="80" t="s">
        <v>227</v>
      </c>
      <c r="I57" s="80" t="s">
        <v>204</v>
      </c>
      <c r="J57" s="80" t="s">
        <v>211</v>
      </c>
      <c r="K57" s="80" t="s">
        <v>228</v>
      </c>
      <c r="L57" s="80" t="s">
        <v>170</v>
      </c>
      <c r="M57" s="80" t="s">
        <v>209</v>
      </c>
      <c r="N57" s="80" t="s">
        <v>232</v>
      </c>
      <c r="O57" s="80" t="s">
        <v>230</v>
      </c>
      <c r="P57" s="80" t="s">
        <v>201</v>
      </c>
      <c r="Q57" s="80" t="s">
        <v>212</v>
      </c>
      <c r="R57" s="80" t="s">
        <v>278</v>
      </c>
      <c r="S57" s="94"/>
      <c r="V57" s="60"/>
    </row>
    <row r="58" spans="2:22" s="1" customFormat="1" ht="36" customHeight="1">
      <c r="B58" s="58"/>
      <c r="D58" s="85" t="s">
        <v>448</v>
      </c>
      <c r="E58" s="85" t="s">
        <v>444</v>
      </c>
      <c r="F58" s="85" t="s">
        <v>440</v>
      </c>
      <c r="G58" s="85"/>
      <c r="H58" s="85" t="s">
        <v>434</v>
      </c>
      <c r="I58" s="85" t="s">
        <v>384</v>
      </c>
      <c r="J58" s="85" t="s">
        <v>436</v>
      </c>
      <c r="K58" s="85"/>
      <c r="L58" s="85" t="s">
        <v>336</v>
      </c>
      <c r="M58" s="85" t="s">
        <v>420</v>
      </c>
      <c r="N58" s="85" t="s">
        <v>326</v>
      </c>
      <c r="O58" s="85" t="s">
        <v>328</v>
      </c>
      <c r="P58" s="85" t="s">
        <v>450</v>
      </c>
      <c r="Q58" s="85" t="s">
        <v>382</v>
      </c>
      <c r="R58" s="85" t="s">
        <v>378</v>
      </c>
      <c r="S58" s="96"/>
      <c r="V58" s="60"/>
    </row>
    <row r="59" spans="2:22" s="67" customFormat="1" ht="60" customHeight="1">
      <c r="B59" s="63"/>
      <c r="C59" s="90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V59" s="68"/>
    </row>
    <row r="60" spans="2:22" s="1" customFormat="1" ht="36" customHeight="1">
      <c r="B60" s="56"/>
      <c r="D60" s="84" t="s">
        <v>439</v>
      </c>
      <c r="E60" s="84"/>
      <c r="F60" s="84" t="s">
        <v>451</v>
      </c>
      <c r="G60" s="84" t="s">
        <v>385</v>
      </c>
      <c r="H60" s="84" t="s">
        <v>453</v>
      </c>
      <c r="I60" s="84" t="s">
        <v>359</v>
      </c>
      <c r="J60" s="84"/>
      <c r="K60" s="84" t="s">
        <v>391</v>
      </c>
      <c r="L60" s="84"/>
      <c r="M60" s="84" t="s">
        <v>325</v>
      </c>
      <c r="N60" s="84" t="s">
        <v>327</v>
      </c>
      <c r="O60" s="84"/>
      <c r="P60" s="84" t="s">
        <v>441</v>
      </c>
      <c r="Q60" s="84" t="s">
        <v>373</v>
      </c>
      <c r="R60" s="84"/>
      <c r="S60" s="93"/>
      <c r="V60" s="60"/>
    </row>
    <row r="61" spans="2:22" s="1" customFormat="1" ht="80.099999999999994" customHeight="1">
      <c r="B61" s="57">
        <f>B57+1</f>
        <v>15</v>
      </c>
      <c r="D61" s="80" t="s">
        <v>237</v>
      </c>
      <c r="E61" s="80" t="s">
        <v>167</v>
      </c>
      <c r="F61" s="80" t="s">
        <v>242</v>
      </c>
      <c r="G61" s="81" t="s">
        <v>199</v>
      </c>
      <c r="H61" s="80" t="s">
        <v>277</v>
      </c>
      <c r="I61" s="80" t="s">
        <v>203</v>
      </c>
      <c r="J61" s="80" t="s">
        <v>196</v>
      </c>
      <c r="K61" s="80" t="s">
        <v>197</v>
      </c>
      <c r="L61" s="80" t="s">
        <v>196</v>
      </c>
      <c r="M61" s="80" t="s">
        <v>232</v>
      </c>
      <c r="N61" s="80" t="s">
        <v>230</v>
      </c>
      <c r="O61" s="80" t="s">
        <v>196</v>
      </c>
      <c r="P61" s="80" t="s">
        <v>238</v>
      </c>
      <c r="Q61" s="80" t="s">
        <v>205</v>
      </c>
      <c r="R61" s="80" t="s">
        <v>171</v>
      </c>
      <c r="S61" s="94"/>
      <c r="V61" s="60"/>
    </row>
    <row r="62" spans="2:22" s="1" customFormat="1" ht="36" customHeight="1">
      <c r="B62" s="58"/>
      <c r="D62" s="85" t="s">
        <v>440</v>
      </c>
      <c r="E62" s="85"/>
      <c r="F62" s="85" t="s">
        <v>452</v>
      </c>
      <c r="G62" s="85" t="s">
        <v>386</v>
      </c>
      <c r="H62" s="85" t="s">
        <v>454</v>
      </c>
      <c r="I62" s="85" t="s">
        <v>360</v>
      </c>
      <c r="J62" s="85"/>
      <c r="K62" s="85" t="s">
        <v>392</v>
      </c>
      <c r="L62" s="85"/>
      <c r="M62" s="85" t="s">
        <v>326</v>
      </c>
      <c r="N62" s="85" t="s">
        <v>328</v>
      </c>
      <c r="O62" s="85"/>
      <c r="P62" s="85" t="s">
        <v>442</v>
      </c>
      <c r="Q62" s="85" t="s">
        <v>374</v>
      </c>
      <c r="R62" s="85"/>
      <c r="S62" s="96"/>
      <c r="V62" s="60"/>
    </row>
    <row r="63" spans="2:22" s="67" customFormat="1" ht="60" customHeight="1">
      <c r="B63" s="63"/>
      <c r="C63" s="90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V63" s="68"/>
    </row>
    <row r="64" spans="2:22" s="1" customFormat="1" ht="36" customHeight="1">
      <c r="B64" s="56"/>
      <c r="D64" s="84" t="s">
        <v>449</v>
      </c>
      <c r="E64" s="84" t="s">
        <v>377</v>
      </c>
      <c r="F64" s="84" t="s">
        <v>443</v>
      </c>
      <c r="G64" s="84" t="s">
        <v>439</v>
      </c>
      <c r="H64" s="84"/>
      <c r="I64" s="84" t="s">
        <v>451</v>
      </c>
      <c r="J64" s="84" t="s">
        <v>453</v>
      </c>
      <c r="K64" s="84" t="s">
        <v>359</v>
      </c>
      <c r="L64" s="84"/>
      <c r="M64" s="84" t="s">
        <v>391</v>
      </c>
      <c r="N64" s="84"/>
      <c r="O64" s="84" t="s">
        <v>325</v>
      </c>
      <c r="P64" s="84" t="s">
        <v>327</v>
      </c>
      <c r="Q64" s="84"/>
      <c r="R64" s="84" t="s">
        <v>441</v>
      </c>
      <c r="S64" s="93"/>
      <c r="V64" s="60"/>
    </row>
    <row r="65" spans="2:22" s="1" customFormat="1" ht="80.099999999999994" customHeight="1">
      <c r="B65" s="57">
        <f>B61+1</f>
        <v>16</v>
      </c>
      <c r="D65" s="80" t="s">
        <v>201</v>
      </c>
      <c r="E65" s="80" t="s">
        <v>278</v>
      </c>
      <c r="F65" s="80" t="s">
        <v>240</v>
      </c>
      <c r="G65" s="81" t="s">
        <v>237</v>
      </c>
      <c r="H65" s="80" t="s">
        <v>167</v>
      </c>
      <c r="I65" s="80" t="s">
        <v>242</v>
      </c>
      <c r="J65" s="80" t="s">
        <v>277</v>
      </c>
      <c r="K65" s="80" t="s">
        <v>203</v>
      </c>
      <c r="L65" s="80" t="s">
        <v>196</v>
      </c>
      <c r="M65" s="80" t="s">
        <v>197</v>
      </c>
      <c r="N65" s="80" t="s">
        <v>196</v>
      </c>
      <c r="O65" s="80" t="s">
        <v>232</v>
      </c>
      <c r="P65" s="80" t="s">
        <v>230</v>
      </c>
      <c r="Q65" s="80" t="s">
        <v>196</v>
      </c>
      <c r="R65" s="80" t="s">
        <v>238</v>
      </c>
      <c r="S65" s="94"/>
      <c r="V65" s="60"/>
    </row>
    <row r="66" spans="2:22" s="1" customFormat="1" ht="36" customHeight="1">
      <c r="B66" s="58"/>
      <c r="D66" s="85" t="s">
        <v>450</v>
      </c>
      <c r="E66" s="85" t="s">
        <v>378</v>
      </c>
      <c r="F66" s="85" t="s">
        <v>444</v>
      </c>
      <c r="G66" s="85" t="s">
        <v>440</v>
      </c>
      <c r="H66" s="85"/>
      <c r="I66" s="85" t="s">
        <v>452</v>
      </c>
      <c r="J66" s="85" t="s">
        <v>454</v>
      </c>
      <c r="K66" s="85" t="s">
        <v>360</v>
      </c>
      <c r="L66" s="85"/>
      <c r="M66" s="85" t="s">
        <v>392</v>
      </c>
      <c r="N66" s="85"/>
      <c r="O66" s="85" t="s">
        <v>326</v>
      </c>
      <c r="P66" s="85" t="s">
        <v>328</v>
      </c>
      <c r="Q66" s="85"/>
      <c r="R66" s="85" t="s">
        <v>442</v>
      </c>
      <c r="S66" s="96"/>
      <c r="V66" s="60"/>
    </row>
    <row r="67" spans="2:22" s="67" customFormat="1" ht="60" customHeight="1">
      <c r="B67" s="63"/>
      <c r="C67" s="90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V67" s="68"/>
    </row>
    <row r="68" spans="2:22" s="1" customFormat="1" ht="36" customHeight="1">
      <c r="B68" s="56"/>
      <c r="D68" s="84" t="s">
        <v>373</v>
      </c>
      <c r="E68" s="84"/>
      <c r="F68" s="84" t="s">
        <v>433</v>
      </c>
      <c r="G68" s="84" t="s">
        <v>383</v>
      </c>
      <c r="H68" s="84" t="s">
        <v>435</v>
      </c>
      <c r="I68" s="84"/>
      <c r="J68" s="84" t="s">
        <v>449</v>
      </c>
      <c r="K68" s="84" t="s">
        <v>377</v>
      </c>
      <c r="L68" s="84" t="s">
        <v>447</v>
      </c>
      <c r="M68" s="84" t="s">
        <v>443</v>
      </c>
      <c r="N68" s="84" t="s">
        <v>439</v>
      </c>
      <c r="O68" s="84"/>
      <c r="P68" s="84" t="s">
        <v>451</v>
      </c>
      <c r="Q68" s="84" t="s">
        <v>453</v>
      </c>
      <c r="R68" s="84" t="s">
        <v>359</v>
      </c>
      <c r="S68" s="93"/>
      <c r="V68" s="60"/>
    </row>
    <row r="69" spans="2:22" s="1" customFormat="1" ht="80.099999999999994" customHeight="1">
      <c r="B69" s="57">
        <f>B65+1</f>
        <v>17</v>
      </c>
      <c r="D69" s="80" t="s">
        <v>205</v>
      </c>
      <c r="E69" s="80" t="s">
        <v>171</v>
      </c>
      <c r="F69" s="80" t="s">
        <v>227</v>
      </c>
      <c r="G69" s="81" t="s">
        <v>204</v>
      </c>
      <c r="H69" s="80" t="s">
        <v>211</v>
      </c>
      <c r="I69" s="80" t="s">
        <v>228</v>
      </c>
      <c r="J69" s="80" t="s">
        <v>201</v>
      </c>
      <c r="K69" s="80" t="s">
        <v>278</v>
      </c>
      <c r="L69" s="80" t="s">
        <v>239</v>
      </c>
      <c r="M69" s="80" t="s">
        <v>240</v>
      </c>
      <c r="N69" s="80" t="s">
        <v>237</v>
      </c>
      <c r="O69" s="80" t="s">
        <v>167</v>
      </c>
      <c r="P69" s="80" t="s">
        <v>242</v>
      </c>
      <c r="Q69" s="80" t="s">
        <v>277</v>
      </c>
      <c r="R69" s="80" t="s">
        <v>203</v>
      </c>
      <c r="S69" s="94"/>
      <c r="V69" s="60"/>
    </row>
    <row r="70" spans="2:22" s="1" customFormat="1" ht="36" customHeight="1">
      <c r="B70" s="58"/>
      <c r="D70" s="85" t="s">
        <v>374</v>
      </c>
      <c r="E70" s="85"/>
      <c r="F70" s="85" t="s">
        <v>434</v>
      </c>
      <c r="G70" s="85" t="s">
        <v>384</v>
      </c>
      <c r="H70" s="85" t="s">
        <v>436</v>
      </c>
      <c r="I70" s="85"/>
      <c r="J70" s="85" t="s">
        <v>450</v>
      </c>
      <c r="K70" s="85" t="s">
        <v>378</v>
      </c>
      <c r="L70" s="85" t="s">
        <v>448</v>
      </c>
      <c r="M70" s="85" t="s">
        <v>444</v>
      </c>
      <c r="N70" s="85" t="s">
        <v>440</v>
      </c>
      <c r="O70" s="85"/>
      <c r="P70" s="85" t="s">
        <v>452</v>
      </c>
      <c r="Q70" s="85" t="s">
        <v>454</v>
      </c>
      <c r="R70" s="85" t="s">
        <v>360</v>
      </c>
      <c r="S70" s="96"/>
      <c r="V70" s="60"/>
    </row>
    <row r="71" spans="2:22" s="67" customFormat="1" ht="60" customHeight="1">
      <c r="B71" s="63"/>
      <c r="C71" s="90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V71" s="68"/>
    </row>
    <row r="72" spans="2:22" s="1" customFormat="1" ht="36" customHeight="1">
      <c r="B72" s="56"/>
      <c r="D72" s="84"/>
      <c r="E72" s="84" t="s">
        <v>391</v>
      </c>
      <c r="F72" s="84"/>
      <c r="G72" s="84" t="s">
        <v>325</v>
      </c>
      <c r="H72" s="84" t="s">
        <v>327</v>
      </c>
      <c r="I72" s="84"/>
      <c r="J72" s="84" t="s">
        <v>441</v>
      </c>
      <c r="K72" s="84" t="s">
        <v>373</v>
      </c>
      <c r="L72" s="84"/>
      <c r="M72" s="84" t="s">
        <v>335</v>
      </c>
      <c r="N72" s="84" t="s">
        <v>435</v>
      </c>
      <c r="O72" s="84" t="s">
        <v>393</v>
      </c>
      <c r="P72" s="84" t="s">
        <v>455</v>
      </c>
      <c r="Q72" s="84" t="s">
        <v>377</v>
      </c>
      <c r="R72" s="84" t="s">
        <v>443</v>
      </c>
      <c r="S72" s="93"/>
      <c r="V72" s="60"/>
    </row>
    <row r="73" spans="2:22" s="1" customFormat="1" ht="80.099999999999994" customHeight="1">
      <c r="B73" s="57">
        <f>B69+1</f>
        <v>18</v>
      </c>
      <c r="D73" s="80" t="s">
        <v>196</v>
      </c>
      <c r="E73" s="80" t="s">
        <v>197</v>
      </c>
      <c r="F73" s="80" t="s">
        <v>196</v>
      </c>
      <c r="G73" s="81" t="s">
        <v>232</v>
      </c>
      <c r="H73" s="80" t="s">
        <v>230</v>
      </c>
      <c r="I73" s="80" t="s">
        <v>196</v>
      </c>
      <c r="J73" s="80" t="s">
        <v>238</v>
      </c>
      <c r="K73" s="80" t="s">
        <v>205</v>
      </c>
      <c r="L73" s="80" t="s">
        <v>171</v>
      </c>
      <c r="M73" s="80" t="s">
        <v>170</v>
      </c>
      <c r="N73" s="80" t="s">
        <v>211</v>
      </c>
      <c r="O73" s="80" t="s">
        <v>207</v>
      </c>
      <c r="P73" s="80" t="s">
        <v>214</v>
      </c>
      <c r="Q73" s="80" t="s">
        <v>278</v>
      </c>
      <c r="R73" s="80" t="s">
        <v>240</v>
      </c>
      <c r="S73" s="94"/>
      <c r="V73" s="60"/>
    </row>
    <row r="74" spans="2:22" s="1" customFormat="1" ht="36" customHeight="1">
      <c r="B74" s="58"/>
      <c r="D74" s="85"/>
      <c r="E74" s="85" t="s">
        <v>392</v>
      </c>
      <c r="F74" s="85"/>
      <c r="G74" s="85" t="s">
        <v>326</v>
      </c>
      <c r="H74" s="85" t="s">
        <v>328</v>
      </c>
      <c r="I74" s="85"/>
      <c r="J74" s="85" t="s">
        <v>442</v>
      </c>
      <c r="K74" s="85" t="s">
        <v>374</v>
      </c>
      <c r="L74" s="85"/>
      <c r="M74" s="85" t="s">
        <v>336</v>
      </c>
      <c r="N74" s="85" t="s">
        <v>436</v>
      </c>
      <c r="O74" s="85" t="s">
        <v>394</v>
      </c>
      <c r="P74" s="85" t="s">
        <v>456</v>
      </c>
      <c r="Q74" s="85" t="s">
        <v>378</v>
      </c>
      <c r="R74" s="85" t="s">
        <v>444</v>
      </c>
      <c r="S74" s="96"/>
      <c r="V74" s="60"/>
    </row>
    <row r="75" spans="2:22" s="67" customFormat="1" ht="60" customHeight="1">
      <c r="B75" s="63"/>
      <c r="C75" s="90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V75" s="68"/>
    </row>
    <row r="76" spans="2:22" s="1" customFormat="1" ht="36" customHeight="1">
      <c r="B76" s="56"/>
      <c r="D76" s="84"/>
      <c r="E76" s="84" t="s">
        <v>393</v>
      </c>
      <c r="F76" s="84" t="s">
        <v>455</v>
      </c>
      <c r="G76" s="84" t="s">
        <v>377</v>
      </c>
      <c r="H76" s="84" t="s">
        <v>447</v>
      </c>
      <c r="I76" s="84" t="s">
        <v>443</v>
      </c>
      <c r="J76" s="84"/>
      <c r="K76" s="84" t="s">
        <v>383</v>
      </c>
      <c r="L76" s="84" t="s">
        <v>335</v>
      </c>
      <c r="M76" s="84" t="s">
        <v>457</v>
      </c>
      <c r="N76" s="84" t="s">
        <v>435</v>
      </c>
      <c r="O76" s="84"/>
      <c r="P76" s="84" t="s">
        <v>333</v>
      </c>
      <c r="Q76" s="84" t="s">
        <v>353</v>
      </c>
      <c r="R76" s="84" t="s">
        <v>459</v>
      </c>
      <c r="S76" s="93"/>
      <c r="V76" s="60"/>
    </row>
    <row r="77" spans="2:22" s="1" customFormat="1" ht="80.099999999999994" customHeight="1">
      <c r="B77" s="57">
        <f>B73+1</f>
        <v>19</v>
      </c>
      <c r="D77" s="80" t="s">
        <v>167</v>
      </c>
      <c r="E77" s="80" t="s">
        <v>207</v>
      </c>
      <c r="F77" s="80" t="s">
        <v>214</v>
      </c>
      <c r="G77" s="81" t="s">
        <v>278</v>
      </c>
      <c r="H77" s="80" t="s">
        <v>239</v>
      </c>
      <c r="I77" s="80" t="s">
        <v>240</v>
      </c>
      <c r="J77" s="80" t="s">
        <v>171</v>
      </c>
      <c r="K77" s="80" t="s">
        <v>204</v>
      </c>
      <c r="L77" s="80" t="s">
        <v>170</v>
      </c>
      <c r="M77" s="80" t="s">
        <v>222</v>
      </c>
      <c r="N77" s="80" t="s">
        <v>211</v>
      </c>
      <c r="O77" s="80" t="s">
        <v>167</v>
      </c>
      <c r="P77" s="80" t="s">
        <v>231</v>
      </c>
      <c r="Q77" s="80" t="s">
        <v>241</v>
      </c>
      <c r="R77" s="80" t="s">
        <v>288</v>
      </c>
      <c r="S77" s="94"/>
      <c r="V77" s="60"/>
    </row>
    <row r="78" spans="2:22" s="1" customFormat="1" ht="36" customHeight="1">
      <c r="B78" s="58"/>
      <c r="D78" s="85"/>
      <c r="E78" s="85" t="s">
        <v>394</v>
      </c>
      <c r="F78" s="85" t="s">
        <v>456</v>
      </c>
      <c r="G78" s="85" t="s">
        <v>378</v>
      </c>
      <c r="H78" s="85" t="s">
        <v>448</v>
      </c>
      <c r="I78" s="85" t="s">
        <v>444</v>
      </c>
      <c r="J78" s="85"/>
      <c r="K78" s="85" t="s">
        <v>384</v>
      </c>
      <c r="L78" s="85" t="s">
        <v>336</v>
      </c>
      <c r="M78" s="85" t="s">
        <v>458</v>
      </c>
      <c r="N78" s="85" t="s">
        <v>436</v>
      </c>
      <c r="O78" s="85"/>
      <c r="P78" s="85" t="s">
        <v>334</v>
      </c>
      <c r="Q78" s="85" t="s">
        <v>354</v>
      </c>
      <c r="R78" s="85" t="s">
        <v>460</v>
      </c>
      <c r="S78" s="96"/>
      <c r="V78" s="60"/>
    </row>
    <row r="79" spans="2:22" s="67" customFormat="1" ht="60" customHeight="1">
      <c r="B79" s="63"/>
      <c r="C79" s="90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V79" s="68"/>
    </row>
    <row r="80" spans="2:22" s="1" customFormat="1" ht="36" customHeight="1">
      <c r="B80" s="56"/>
      <c r="D80" s="84" t="s">
        <v>337</v>
      </c>
      <c r="E80" s="84"/>
      <c r="F80" s="84" t="s">
        <v>461</v>
      </c>
      <c r="G80" s="84" t="s">
        <v>463</v>
      </c>
      <c r="H80" s="84" t="s">
        <v>465</v>
      </c>
      <c r="I80" s="84" t="s">
        <v>467</v>
      </c>
      <c r="J80" s="84"/>
      <c r="K80" s="84" t="s">
        <v>389</v>
      </c>
      <c r="L80" s="84" t="s">
        <v>359</v>
      </c>
      <c r="M80" s="84" t="s">
        <v>337</v>
      </c>
      <c r="N80" s="84" t="s">
        <v>443</v>
      </c>
      <c r="O80" s="84"/>
      <c r="P80" s="84" t="s">
        <v>333</v>
      </c>
      <c r="Q80" s="84"/>
      <c r="R80" s="84" t="s">
        <v>469</v>
      </c>
      <c r="S80" s="93"/>
      <c r="V80" s="60"/>
    </row>
    <row r="81" spans="2:22" s="1" customFormat="1" ht="80.099999999999994" customHeight="1">
      <c r="B81" s="57">
        <f>B77+1</f>
        <v>20</v>
      </c>
      <c r="D81" s="80" t="s">
        <v>200</v>
      </c>
      <c r="E81" s="80" t="s">
        <v>219</v>
      </c>
      <c r="F81" s="80" t="s">
        <v>243</v>
      </c>
      <c r="G81" s="80" t="s">
        <v>247</v>
      </c>
      <c r="H81" s="80" t="s">
        <v>268</v>
      </c>
      <c r="I81" s="80" t="s">
        <v>279</v>
      </c>
      <c r="J81" s="80" t="s">
        <v>186</v>
      </c>
      <c r="K81" s="80" t="s">
        <v>250</v>
      </c>
      <c r="L81" s="80" t="s">
        <v>203</v>
      </c>
      <c r="M81" s="80" t="s">
        <v>200</v>
      </c>
      <c r="N81" s="80" t="s">
        <v>240</v>
      </c>
      <c r="O81" s="80" t="s">
        <v>167</v>
      </c>
      <c r="P81" s="80" t="s">
        <v>231</v>
      </c>
      <c r="Q81" s="80" t="s">
        <v>289</v>
      </c>
      <c r="R81" s="80" t="s">
        <v>274</v>
      </c>
      <c r="S81" s="94"/>
      <c r="V81" s="60"/>
    </row>
    <row r="82" spans="2:22" s="1" customFormat="1" ht="36" customHeight="1">
      <c r="B82" s="58"/>
      <c r="D82" s="85" t="s">
        <v>338</v>
      </c>
      <c r="E82" s="85"/>
      <c r="F82" s="85" t="s">
        <v>462</v>
      </c>
      <c r="G82" s="85" t="s">
        <v>464</v>
      </c>
      <c r="H82" s="85" t="s">
        <v>466</v>
      </c>
      <c r="I82" s="85" t="s">
        <v>468</v>
      </c>
      <c r="J82" s="85"/>
      <c r="K82" s="85" t="s">
        <v>390</v>
      </c>
      <c r="L82" s="85" t="s">
        <v>360</v>
      </c>
      <c r="M82" s="85" t="s">
        <v>338</v>
      </c>
      <c r="N82" s="85" t="s">
        <v>444</v>
      </c>
      <c r="O82" s="85"/>
      <c r="P82" s="85" t="s">
        <v>334</v>
      </c>
      <c r="Q82" s="85"/>
      <c r="R82" s="85" t="s">
        <v>470</v>
      </c>
      <c r="S82" s="96"/>
      <c r="V82" s="60"/>
    </row>
    <row r="83" spans="2:22" s="67" customFormat="1" ht="60" customHeight="1">
      <c r="B83" s="63"/>
      <c r="C83" s="90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V83" s="68"/>
    </row>
    <row r="84" spans="2:22" s="1" customFormat="1" ht="36" customHeight="1">
      <c r="B84" s="56"/>
      <c r="D84" s="84" t="s">
        <v>373</v>
      </c>
      <c r="E84" s="84"/>
      <c r="F84" s="84" t="s">
        <v>443</v>
      </c>
      <c r="G84" s="84" t="s">
        <v>471</v>
      </c>
      <c r="H84" s="84" t="s">
        <v>455</v>
      </c>
      <c r="I84" s="84"/>
      <c r="J84" s="84"/>
      <c r="K84" s="84" t="s">
        <v>433</v>
      </c>
      <c r="L84" s="84" t="s">
        <v>473</v>
      </c>
      <c r="M84" s="84" t="s">
        <v>447</v>
      </c>
      <c r="N84" s="84" t="s">
        <v>443</v>
      </c>
      <c r="O84" s="84"/>
      <c r="P84" s="84"/>
      <c r="Q84" s="84"/>
      <c r="R84" s="84"/>
      <c r="S84" s="93"/>
      <c r="V84" s="60"/>
    </row>
    <row r="85" spans="2:22" s="1" customFormat="1" ht="80.099999999999994" customHeight="1">
      <c r="B85" s="57">
        <f>B81+1</f>
        <v>21</v>
      </c>
      <c r="D85" s="80" t="s">
        <v>205</v>
      </c>
      <c r="E85" s="80" t="s">
        <v>233</v>
      </c>
      <c r="F85" s="80" t="s">
        <v>240</v>
      </c>
      <c r="G85" s="81" t="s">
        <v>290</v>
      </c>
      <c r="H85" s="80" t="s">
        <v>214</v>
      </c>
      <c r="I85" s="80" t="s">
        <v>291</v>
      </c>
      <c r="J85" s="80" t="s">
        <v>167</v>
      </c>
      <c r="K85" s="80" t="s">
        <v>227</v>
      </c>
      <c r="L85" s="80" t="s">
        <v>292</v>
      </c>
      <c r="M85" s="80" t="s">
        <v>239</v>
      </c>
      <c r="N85" s="80" t="s">
        <v>240</v>
      </c>
      <c r="O85" s="80" t="s">
        <v>228</v>
      </c>
      <c r="P85" s="80" t="s">
        <v>187</v>
      </c>
      <c r="Q85" s="80"/>
      <c r="R85" s="80"/>
      <c r="S85" s="94"/>
      <c r="V85" s="60"/>
    </row>
    <row r="86" spans="2:22" s="1" customFormat="1" ht="36" customHeight="1">
      <c r="B86" s="58"/>
      <c r="D86" s="85" t="s">
        <v>374</v>
      </c>
      <c r="E86" s="85"/>
      <c r="F86" s="85" t="s">
        <v>444</v>
      </c>
      <c r="G86" s="85" t="s">
        <v>472</v>
      </c>
      <c r="H86" s="85" t="s">
        <v>456</v>
      </c>
      <c r="I86" s="85"/>
      <c r="J86" s="85"/>
      <c r="K86" s="85" t="s">
        <v>434</v>
      </c>
      <c r="L86" s="85" t="s">
        <v>474</v>
      </c>
      <c r="M86" s="85" t="s">
        <v>448</v>
      </c>
      <c r="N86" s="85" t="s">
        <v>444</v>
      </c>
      <c r="O86" s="85"/>
      <c r="P86" s="85"/>
      <c r="Q86" s="85"/>
      <c r="R86" s="85"/>
      <c r="S86" s="96"/>
      <c r="V86" s="60"/>
    </row>
    <row r="87" spans="2:22" s="67" customFormat="1" ht="60" customHeight="1">
      <c r="B87" s="63"/>
      <c r="C87" s="90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V87" s="68"/>
    </row>
    <row r="88" spans="2:22" s="1" customFormat="1" ht="36" customHeight="1">
      <c r="B88" s="56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93"/>
      <c r="V88" s="60"/>
    </row>
    <row r="89" spans="2:22" s="1" customFormat="1" ht="80.099999999999994" customHeight="1">
      <c r="B89" s="57">
        <f>B85+1</f>
        <v>22</v>
      </c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94"/>
      <c r="V89" s="60"/>
    </row>
    <row r="90" spans="2:22" s="1" customFormat="1" ht="36" customHeight="1">
      <c r="B90" s="58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96"/>
      <c r="V90" s="60"/>
    </row>
    <row r="91" spans="2:22" s="67" customFormat="1" ht="60" customHeight="1">
      <c r="B91" s="63"/>
      <c r="C91" s="90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V91" s="68"/>
    </row>
    <row r="92" spans="2:22" s="1" customFormat="1" ht="36" customHeight="1">
      <c r="B92" s="56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93"/>
      <c r="V92" s="60"/>
    </row>
    <row r="93" spans="2:22" s="1" customFormat="1" ht="80.099999999999994" customHeight="1">
      <c r="B93" s="57">
        <f>B89+1</f>
        <v>23</v>
      </c>
      <c r="D93" s="80"/>
      <c r="E93" s="80"/>
      <c r="F93" s="80"/>
      <c r="G93" s="81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94"/>
      <c r="V93" s="60"/>
    </row>
    <row r="94" spans="2:22" s="1" customFormat="1" ht="36" customHeight="1">
      <c r="B94" s="58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96"/>
      <c r="V94" s="60"/>
    </row>
    <row r="95" spans="2:22" s="67" customFormat="1" ht="60" customHeight="1">
      <c r="B95" s="63"/>
      <c r="C95" s="90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V95" s="68"/>
    </row>
    <row r="96" spans="2:22" s="1" customFormat="1" ht="36" customHeight="1">
      <c r="B96" s="56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93"/>
      <c r="V96" s="60"/>
    </row>
    <row r="97" spans="2:22" s="1" customFormat="1" ht="80.099999999999994" customHeight="1">
      <c r="B97" s="57">
        <f>B93+1</f>
        <v>24</v>
      </c>
      <c r="D97" s="80"/>
      <c r="E97" s="80"/>
      <c r="F97" s="80"/>
      <c r="G97" s="81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94"/>
      <c r="V97" s="60"/>
    </row>
    <row r="98" spans="2:22" s="1" customFormat="1" ht="36" customHeight="1">
      <c r="B98" s="58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96"/>
      <c r="V98" s="60"/>
    </row>
    <row r="99" spans="2:22" s="67" customFormat="1" ht="60" customHeight="1">
      <c r="B99" s="63"/>
      <c r="C99" s="90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V99" s="68"/>
    </row>
    <row r="100" spans="2:22" s="1" customFormat="1" ht="36" customHeight="1">
      <c r="B100" s="56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93"/>
      <c r="V100" s="60"/>
    </row>
    <row r="101" spans="2:22" s="1" customFormat="1" ht="80.099999999999994" customHeight="1">
      <c r="B101" s="57">
        <f>B97+1</f>
        <v>25</v>
      </c>
      <c r="D101" s="80"/>
      <c r="E101" s="80"/>
      <c r="F101" s="80"/>
      <c r="G101" s="81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94"/>
      <c r="V101" s="60"/>
    </row>
    <row r="102" spans="2:22" s="1" customFormat="1" ht="36" customHeight="1">
      <c r="B102" s="58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96"/>
      <c r="V102" s="60"/>
    </row>
    <row r="103" spans="2:22" s="67" customFormat="1" ht="60" customHeight="1">
      <c r="B103" s="63"/>
      <c r="C103" s="90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V103" s="68"/>
    </row>
    <row r="104" spans="2:22" s="1" customFormat="1" ht="36" customHeight="1">
      <c r="B104" s="56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93"/>
      <c r="V104" s="60"/>
    </row>
    <row r="105" spans="2:22" s="1" customFormat="1" ht="80.099999999999994" customHeight="1">
      <c r="B105" s="57">
        <f>B101+1</f>
        <v>26</v>
      </c>
      <c r="D105" s="80"/>
      <c r="E105" s="80"/>
      <c r="F105" s="80"/>
      <c r="G105" s="81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94"/>
      <c r="V105" s="60"/>
    </row>
    <row r="106" spans="2:22" s="1" customFormat="1" ht="36" customHeight="1">
      <c r="B106" s="58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96"/>
      <c r="V106" s="60"/>
    </row>
    <row r="107" spans="2:22" s="67" customFormat="1" ht="60" customHeight="1">
      <c r="B107" s="63"/>
      <c r="C107" s="90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V107" s="68"/>
    </row>
    <row r="108" spans="2:22" s="1" customFormat="1" ht="36" customHeight="1">
      <c r="B108" s="56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93"/>
      <c r="V108" s="60"/>
    </row>
    <row r="109" spans="2:22" s="1" customFormat="1" ht="80.099999999999994" customHeight="1">
      <c r="B109" s="57">
        <f>B105+1</f>
        <v>27</v>
      </c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94"/>
      <c r="V109" s="60"/>
    </row>
    <row r="110" spans="2:22" s="1" customFormat="1" ht="36" customHeight="1">
      <c r="B110" s="58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96"/>
      <c r="V110" s="60"/>
    </row>
    <row r="111" spans="2:22" s="67" customFormat="1" ht="60" customHeight="1">
      <c r="B111" s="63"/>
      <c r="C111" s="90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V111" s="68"/>
    </row>
    <row r="112" spans="2:22" s="1" customFormat="1" ht="36" customHeight="1">
      <c r="B112" s="56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93"/>
      <c r="V112" s="60"/>
    </row>
    <row r="113" spans="2:22" s="1" customFormat="1" ht="80.099999999999994" customHeight="1">
      <c r="B113" s="57">
        <f>B109+1</f>
        <v>28</v>
      </c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94"/>
      <c r="V113" s="60"/>
    </row>
    <row r="114" spans="2:22" s="1" customFormat="1" ht="36" customHeight="1">
      <c r="B114" s="58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96"/>
      <c r="V114" s="60"/>
    </row>
    <row r="115" spans="2:22" s="67" customFormat="1" ht="60" customHeight="1">
      <c r="B115" s="63"/>
      <c r="C115" s="90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V115" s="68"/>
    </row>
    <row r="116" spans="2:22" s="1" customFormat="1" ht="36" customHeight="1">
      <c r="B116" s="56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93"/>
      <c r="V116" s="60"/>
    </row>
    <row r="117" spans="2:22" s="1" customFormat="1" ht="80.099999999999994" customHeight="1">
      <c r="B117" s="57">
        <f>B113+1</f>
        <v>29</v>
      </c>
      <c r="D117" s="80"/>
      <c r="E117" s="80"/>
      <c r="F117" s="80"/>
      <c r="G117" s="81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94"/>
      <c r="V117" s="60"/>
    </row>
    <row r="118" spans="2:22" s="1" customFormat="1" ht="36" customHeight="1">
      <c r="B118" s="58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96"/>
      <c r="V118" s="60"/>
    </row>
    <row r="119" spans="2:22" s="67" customFormat="1" ht="60" customHeight="1">
      <c r="B119" s="63"/>
      <c r="C119" s="90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V119" s="68"/>
    </row>
    <row r="120" spans="2:22" s="1" customFormat="1" ht="36" customHeight="1">
      <c r="B120" s="56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93"/>
      <c r="V120" s="60"/>
    </row>
    <row r="121" spans="2:22" s="1" customFormat="1" ht="80.099999999999994" customHeight="1">
      <c r="B121" s="57">
        <f>B117+1</f>
        <v>30</v>
      </c>
      <c r="D121" s="80"/>
      <c r="E121" s="80"/>
      <c r="F121" s="80"/>
      <c r="G121" s="81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94"/>
      <c r="V121" s="60"/>
    </row>
    <row r="122" spans="2:22" s="1" customFormat="1" ht="36" customHeight="1">
      <c r="B122" s="58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96"/>
      <c r="V122" s="60"/>
    </row>
    <row r="123" spans="2:22" s="67" customFormat="1" ht="60" customHeight="1">
      <c r="B123" s="63"/>
      <c r="C123" s="90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V123" s="68"/>
    </row>
    <row r="124" spans="2:22" s="1" customFormat="1" ht="36" customHeight="1">
      <c r="B124" s="56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93"/>
      <c r="V124" s="60"/>
    </row>
    <row r="125" spans="2:22" s="1" customFormat="1" ht="80.099999999999994" customHeight="1">
      <c r="B125" s="57">
        <f>B121+1</f>
        <v>31</v>
      </c>
      <c r="D125" s="80"/>
      <c r="E125" s="80"/>
      <c r="F125" s="80"/>
      <c r="G125" s="81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94"/>
      <c r="V125" s="60"/>
    </row>
    <row r="126" spans="2:22" s="1" customFormat="1" ht="36" customHeight="1">
      <c r="B126" s="58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96"/>
      <c r="V126" s="60"/>
    </row>
    <row r="127" spans="2:22" s="67" customFormat="1" ht="60" customHeight="1">
      <c r="B127" s="63"/>
      <c r="C127" s="90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V127" s="68"/>
    </row>
    <row r="128" spans="2:22" s="1" customFormat="1" ht="36" customHeight="1">
      <c r="B128" s="56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93"/>
      <c r="V128" s="60"/>
    </row>
    <row r="129" spans="2:22" s="1" customFormat="1" ht="80.099999999999994" customHeight="1">
      <c r="B129" s="57">
        <f>B125+1</f>
        <v>32</v>
      </c>
      <c r="D129" s="80"/>
      <c r="E129" s="80"/>
      <c r="F129" s="80"/>
      <c r="G129" s="81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94"/>
      <c r="V129" s="60"/>
    </row>
    <row r="130" spans="2:22" s="1" customFormat="1" ht="36" customHeight="1">
      <c r="B130" s="58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96"/>
      <c r="V130" s="60"/>
    </row>
    <row r="131" spans="2:22" s="67" customFormat="1" ht="60" customHeight="1">
      <c r="B131" s="63"/>
      <c r="C131" s="90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V131" s="68"/>
    </row>
    <row r="132" spans="2:22" s="1" customFormat="1" ht="36" customHeight="1">
      <c r="B132" s="56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93"/>
      <c r="V132" s="60"/>
    </row>
    <row r="133" spans="2:22" s="1" customFormat="1" ht="80.099999999999994" customHeight="1">
      <c r="B133" s="57">
        <f>B129+1</f>
        <v>33</v>
      </c>
      <c r="D133" s="80"/>
      <c r="E133" s="80"/>
      <c r="F133" s="80"/>
      <c r="G133" s="81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94"/>
      <c r="V133" s="60"/>
    </row>
    <row r="134" spans="2:22" s="1" customFormat="1" ht="36" customHeight="1">
      <c r="B134" s="58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96"/>
      <c r="V134" s="60"/>
    </row>
    <row r="135" spans="2:22" s="67" customFormat="1" ht="60" customHeight="1">
      <c r="B135" s="63"/>
      <c r="C135" s="90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V135" s="68"/>
    </row>
    <row r="136" spans="2:22" s="1" customFormat="1" ht="36" customHeight="1">
      <c r="B136" s="56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93"/>
      <c r="V136" s="60"/>
    </row>
    <row r="137" spans="2:22" s="1" customFormat="1" ht="80.099999999999994" customHeight="1">
      <c r="B137" s="57">
        <f>B133+1</f>
        <v>34</v>
      </c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94"/>
      <c r="V137" s="60"/>
    </row>
    <row r="138" spans="2:22" s="1" customFormat="1" ht="36" customHeight="1">
      <c r="B138" s="58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96"/>
      <c r="V138" s="60"/>
    </row>
    <row r="139" spans="2:22" s="67" customFormat="1" ht="60" customHeight="1">
      <c r="B139" s="63"/>
      <c r="C139" s="90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V139" s="68"/>
    </row>
    <row r="140" spans="2:22" s="1" customFormat="1" ht="36" customHeight="1">
      <c r="B140" s="56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93"/>
      <c r="V140" s="60"/>
    </row>
    <row r="141" spans="2:22" s="1" customFormat="1" ht="80.099999999999994" customHeight="1">
      <c r="B141" s="57">
        <f>B137+1</f>
        <v>35</v>
      </c>
      <c r="D141" s="80"/>
      <c r="E141" s="80"/>
      <c r="F141" s="80"/>
      <c r="G141" s="81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94"/>
      <c r="V141" s="60"/>
    </row>
    <row r="142" spans="2:22" s="1" customFormat="1" ht="36" customHeight="1">
      <c r="B142" s="58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96"/>
      <c r="V142" s="60"/>
    </row>
    <row r="143" spans="2:22" s="67" customFormat="1" ht="60" customHeight="1">
      <c r="B143" s="63"/>
      <c r="C143" s="90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V143" s="68"/>
    </row>
    <row r="144" spans="2:22" s="1" customFormat="1" ht="36" customHeight="1">
      <c r="B144" s="56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93"/>
      <c r="V144" s="60"/>
    </row>
    <row r="145" spans="2:22" s="1" customFormat="1" ht="80.099999999999994" customHeight="1">
      <c r="B145" s="57">
        <f>B141+1</f>
        <v>36</v>
      </c>
      <c r="D145" s="80"/>
      <c r="E145" s="80"/>
      <c r="F145" s="80"/>
      <c r="G145" s="81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94"/>
      <c r="V145" s="60"/>
    </row>
    <row r="146" spans="2:22" s="1" customFormat="1" ht="36" customHeight="1">
      <c r="B146" s="58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96"/>
      <c r="V146" s="60"/>
    </row>
    <row r="147" spans="2:22" s="67" customFormat="1" ht="60" customHeight="1">
      <c r="B147" s="63"/>
      <c r="C147" s="90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V147" s="68"/>
    </row>
    <row r="148" spans="2:22" s="1" customFormat="1" ht="36" customHeight="1">
      <c r="B148" s="56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93"/>
      <c r="V148" s="60"/>
    </row>
    <row r="149" spans="2:22" s="1" customFormat="1" ht="80.099999999999994" customHeight="1">
      <c r="B149" s="57">
        <f>B145+1</f>
        <v>37</v>
      </c>
      <c r="D149" s="80"/>
      <c r="E149" s="80"/>
      <c r="F149" s="80"/>
      <c r="G149" s="81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94"/>
      <c r="V149" s="60"/>
    </row>
    <row r="150" spans="2:22" s="1" customFormat="1" ht="36" customHeight="1">
      <c r="B150" s="58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96"/>
      <c r="V150" s="60"/>
    </row>
    <row r="151" spans="2:22" s="67" customFormat="1" ht="60" customHeight="1">
      <c r="B151" s="63"/>
      <c r="C151" s="90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V151" s="68"/>
    </row>
    <row r="152" spans="2:22" s="1" customFormat="1" ht="36" customHeight="1">
      <c r="B152" s="56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93"/>
      <c r="V152" s="60"/>
    </row>
    <row r="153" spans="2:22" s="1" customFormat="1" ht="80.099999999999994" customHeight="1">
      <c r="B153" s="57">
        <f>B149+1</f>
        <v>38</v>
      </c>
      <c r="D153" s="80"/>
      <c r="E153" s="80"/>
      <c r="F153" s="80"/>
      <c r="G153" s="81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94"/>
      <c r="V153" s="60"/>
    </row>
    <row r="154" spans="2:22" s="1" customFormat="1" ht="36" customHeight="1">
      <c r="B154" s="58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96"/>
      <c r="V154" s="60"/>
    </row>
    <row r="155" spans="2:22" s="67" customFormat="1" ht="60" customHeight="1">
      <c r="B155" s="63"/>
      <c r="C155" s="90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V155" s="68"/>
    </row>
    <row r="156" spans="2:22" s="1" customFormat="1" ht="36" customHeight="1">
      <c r="B156" s="56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93"/>
      <c r="V156" s="60"/>
    </row>
    <row r="157" spans="2:22" s="1" customFormat="1" ht="80.099999999999994" customHeight="1">
      <c r="B157" s="57">
        <f t="shared" ref="B157" si="1">B153+1</f>
        <v>39</v>
      </c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94"/>
      <c r="V157" s="60"/>
    </row>
    <row r="158" spans="2:22" s="1" customFormat="1" ht="36" customHeight="1">
      <c r="B158" s="58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96"/>
      <c r="V158" s="60"/>
    </row>
    <row r="159" spans="2:22" s="67" customFormat="1" ht="60" customHeight="1">
      <c r="B159" s="63"/>
      <c r="C159" s="90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V159" s="68"/>
    </row>
    <row r="160" spans="2:22" s="1" customFormat="1" ht="36" customHeight="1">
      <c r="B160" s="56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93"/>
      <c r="V160" s="60"/>
    </row>
    <row r="161" spans="2:22" s="1" customFormat="1" ht="80.099999999999994" customHeight="1">
      <c r="B161" s="57">
        <f t="shared" ref="B161" si="2">B157+1</f>
        <v>40</v>
      </c>
      <c r="D161" s="80"/>
      <c r="E161" s="80"/>
      <c r="F161" s="80"/>
      <c r="G161" s="81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94"/>
      <c r="V161" s="60"/>
    </row>
    <row r="162" spans="2:22" s="1" customFormat="1" ht="36" customHeight="1">
      <c r="B162" s="58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96"/>
      <c r="V162" s="60"/>
    </row>
    <row r="163" spans="2:22" s="67" customFormat="1" ht="60" customHeight="1">
      <c r="B163" s="63"/>
      <c r="C163" s="90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V163" s="68"/>
    </row>
    <row r="164" spans="2:22" s="1" customFormat="1" ht="36" customHeight="1">
      <c r="B164" s="56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93"/>
      <c r="V164" s="60"/>
    </row>
    <row r="165" spans="2:22" s="1" customFormat="1" ht="80.099999999999994" customHeight="1">
      <c r="B165" s="57">
        <f t="shared" ref="B165" si="3">B161+1</f>
        <v>41</v>
      </c>
      <c r="D165" s="80"/>
      <c r="E165" s="80"/>
      <c r="F165" s="80"/>
      <c r="G165" s="81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94"/>
      <c r="V165" s="60"/>
    </row>
    <row r="166" spans="2:22" s="1" customFormat="1" ht="36" customHeight="1">
      <c r="B166" s="58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96"/>
      <c r="V166" s="60"/>
    </row>
    <row r="167" spans="2:22">
      <c r="B167" s="63"/>
      <c r="C167" s="90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</row>
    <row r="168" spans="2:22" ht="39.75">
      <c r="B168" s="56"/>
      <c r="C168" s="1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</row>
    <row r="169" spans="2:22" ht="58.5">
      <c r="B169" s="57">
        <f t="shared" ref="B169" si="4">B165+1</f>
        <v>42</v>
      </c>
      <c r="C169" s="1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</row>
    <row r="170" spans="2:22">
      <c r="B170" s="58"/>
      <c r="C170" s="1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</row>
    <row r="171" spans="2:22">
      <c r="B171" s="63"/>
      <c r="C171" s="90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</row>
    <row r="172" spans="2:22" ht="39.75">
      <c r="B172" s="56"/>
      <c r="C172" s="1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</row>
    <row r="173" spans="2:22" ht="58.5">
      <c r="B173" s="57">
        <f t="shared" ref="B173" si="5">B169+1</f>
        <v>43</v>
      </c>
      <c r="C173" s="1"/>
      <c r="D173" s="80"/>
      <c r="E173" s="80"/>
      <c r="F173" s="80"/>
      <c r="G173" s="81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</row>
    <row r="174" spans="2:22">
      <c r="B174" s="58"/>
      <c r="C174" s="1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</row>
    <row r="175" spans="2:22">
      <c r="B175" s="63"/>
      <c r="C175" s="90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</row>
    <row r="176" spans="2:22" ht="39.75">
      <c r="B176" s="56"/>
      <c r="C176" s="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</row>
    <row r="177" spans="2:18" ht="58.5">
      <c r="B177" s="57">
        <f t="shared" ref="B177" si="6">B173+1</f>
        <v>44</v>
      </c>
      <c r="C177" s="1"/>
      <c r="D177" s="80"/>
      <c r="E177" s="80"/>
      <c r="F177" s="80"/>
      <c r="G177" s="81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</row>
    <row r="178" spans="2:18">
      <c r="B178" s="58"/>
      <c r="C178" s="1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</row>
    <row r="179" spans="2:18">
      <c r="B179" s="63"/>
      <c r="C179" s="90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</row>
    <row r="180" spans="2:18" ht="39.75">
      <c r="B180" s="56"/>
      <c r="C180" s="1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</row>
    <row r="181" spans="2:18" ht="58.5">
      <c r="B181" s="57">
        <f t="shared" ref="B181" si="7">B177+1</f>
        <v>45</v>
      </c>
      <c r="C181" s="1"/>
      <c r="D181" s="80"/>
      <c r="E181" s="80"/>
      <c r="F181" s="80"/>
      <c r="G181" s="81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</row>
    <row r="182" spans="2:18">
      <c r="B182" s="58"/>
      <c r="C182" s="1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</row>
    <row r="183" spans="2:18">
      <c r="B183" s="63"/>
      <c r="C183" s="90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</row>
    <row r="184" spans="2:18" ht="39.75">
      <c r="B184" s="56"/>
      <c r="C184" s="1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</row>
    <row r="185" spans="2:18" ht="58.5">
      <c r="B185" s="57">
        <f t="shared" ref="B185" si="8">B181+1</f>
        <v>46</v>
      </c>
      <c r="C185" s="1"/>
      <c r="D185" s="80"/>
      <c r="E185" s="80"/>
      <c r="F185" s="80"/>
      <c r="G185" s="81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</row>
    <row r="186" spans="2:18">
      <c r="B186" s="58"/>
      <c r="C186" s="1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</row>
    <row r="187" spans="2:18">
      <c r="B187" s="63"/>
      <c r="C187" s="90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</row>
    <row r="188" spans="2:18" ht="39.75">
      <c r="B188" s="56"/>
      <c r="C188" s="1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</row>
    <row r="189" spans="2:18" ht="58.5">
      <c r="B189" s="57">
        <f t="shared" ref="B189" si="9">B185+1</f>
        <v>47</v>
      </c>
      <c r="C189" s="1"/>
      <c r="D189" s="80"/>
      <c r="E189" s="80"/>
      <c r="F189" s="80"/>
      <c r="G189" s="81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</row>
    <row r="190" spans="2:18">
      <c r="B190" s="58"/>
      <c r="C190" s="1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</row>
    <row r="191" spans="2:18">
      <c r="B191" s="63"/>
      <c r="C191" s="90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</row>
    <row r="192" spans="2:18" ht="39.75">
      <c r="B192" s="56"/>
      <c r="C192" s="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</row>
    <row r="193" spans="2:18" ht="58.5">
      <c r="B193" s="57">
        <f t="shared" ref="B193" si="10">B189+1</f>
        <v>48</v>
      </c>
      <c r="C193" s="1"/>
      <c r="D193" s="80"/>
      <c r="E193" s="80"/>
      <c r="F193" s="80"/>
      <c r="G193" s="81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</row>
    <row r="194" spans="2:18">
      <c r="B194" s="58"/>
      <c r="C194" s="1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</row>
    <row r="195" spans="2:18">
      <c r="B195" s="63"/>
      <c r="C195" s="90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</row>
    <row r="196" spans="2:18" ht="39.75">
      <c r="B196" s="56"/>
      <c r="C196" s="1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</row>
    <row r="197" spans="2:18" ht="58.5">
      <c r="B197" s="57">
        <f t="shared" ref="B197" si="11">B193+1</f>
        <v>49</v>
      </c>
      <c r="C197" s="1"/>
      <c r="D197" s="80"/>
      <c r="E197" s="80"/>
      <c r="F197" s="80"/>
      <c r="G197" s="81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</row>
    <row r="198" spans="2:18">
      <c r="B198" s="58"/>
      <c r="C198" s="1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</row>
    <row r="199" spans="2:18">
      <c r="B199" s="63"/>
      <c r="C199" s="90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</row>
    <row r="200" spans="2:18" ht="39.75">
      <c r="B200" s="56"/>
      <c r="C200" s="1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</row>
    <row r="201" spans="2:18" ht="58.5">
      <c r="B201" s="57">
        <f t="shared" ref="B201" si="12">B197+1</f>
        <v>50</v>
      </c>
      <c r="C201" s="1"/>
      <c r="D201" s="80"/>
      <c r="E201" s="80"/>
      <c r="F201" s="80"/>
      <c r="G201" s="81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</row>
    <row r="202" spans="2:18">
      <c r="B202" s="58"/>
      <c r="C202" s="1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</row>
    <row r="203" spans="2:18">
      <c r="B203" s="63"/>
      <c r="C203" s="90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</row>
    <row r="204" spans="2:18" ht="39.75">
      <c r="B204" s="56"/>
      <c r="C204" s="1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</row>
    <row r="205" spans="2:18" ht="58.5">
      <c r="B205" s="57">
        <f t="shared" ref="B205" si="13">B201+1</f>
        <v>51</v>
      </c>
      <c r="C205" s="1"/>
      <c r="D205" s="80"/>
      <c r="E205" s="80"/>
      <c r="F205" s="80"/>
      <c r="G205" s="81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</row>
    <row r="206" spans="2:18">
      <c r="B206" s="58"/>
      <c r="C206" s="1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</row>
    <row r="207" spans="2:18">
      <c r="B207" s="63"/>
      <c r="C207" s="90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</row>
    <row r="208" spans="2:18" ht="39.75">
      <c r="B208" s="56"/>
      <c r="C208" s="1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</row>
    <row r="209" spans="2:18" ht="58.5">
      <c r="B209" s="57">
        <f t="shared" ref="B209" si="14">B205+1</f>
        <v>52</v>
      </c>
      <c r="C209" s="1"/>
      <c r="D209" s="80"/>
      <c r="E209" s="80"/>
      <c r="F209" s="80"/>
      <c r="G209" s="81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</row>
    <row r="210" spans="2:18">
      <c r="B210" s="58"/>
      <c r="C210" s="1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</row>
    <row r="211" spans="2:18">
      <c r="B211" s="63"/>
      <c r="C211" s="90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</row>
    <row r="212" spans="2:18" ht="39.75">
      <c r="B212" s="56"/>
      <c r="C212" s="1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</row>
    <row r="213" spans="2:18" ht="58.5">
      <c r="B213" s="57">
        <f t="shared" ref="B213" si="15">B209+1</f>
        <v>53</v>
      </c>
      <c r="C213" s="1"/>
      <c r="D213" s="80"/>
      <c r="E213" s="80"/>
      <c r="F213" s="80"/>
      <c r="G213" s="81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</row>
    <row r="214" spans="2:18">
      <c r="B214" s="58"/>
      <c r="C214" s="1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</row>
    <row r="215" spans="2:18">
      <c r="B215" s="63"/>
      <c r="C215" s="90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</row>
    <row r="216" spans="2:18" ht="39.75">
      <c r="B216" s="56"/>
      <c r="C216" s="1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</row>
    <row r="217" spans="2:18" ht="58.5">
      <c r="B217" s="57">
        <f t="shared" ref="B217" si="16">B213+1</f>
        <v>54</v>
      </c>
      <c r="C217" s="1"/>
      <c r="D217" s="80"/>
      <c r="E217" s="80"/>
      <c r="F217" s="80"/>
      <c r="G217" s="81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</row>
    <row r="218" spans="2:18">
      <c r="B218" s="58"/>
      <c r="C218" s="1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</row>
    <row r="219" spans="2:18">
      <c r="B219" s="63"/>
      <c r="C219" s="90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</row>
    <row r="220" spans="2:18" ht="39.75">
      <c r="B220" s="56"/>
      <c r="C220" s="1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</row>
    <row r="221" spans="2:18" ht="58.5">
      <c r="B221" s="57">
        <f t="shared" ref="B221" si="17">B217+1</f>
        <v>55</v>
      </c>
      <c r="C221" s="1"/>
      <c r="D221" s="80"/>
      <c r="E221" s="80"/>
      <c r="F221" s="80"/>
      <c r="G221" s="81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</row>
    <row r="222" spans="2:18">
      <c r="B222" s="58"/>
      <c r="C222" s="1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</row>
    <row r="223" spans="2:18">
      <c r="B223" s="63"/>
      <c r="C223" s="90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</row>
    <row r="224" spans="2:18" ht="39.75">
      <c r="B224" s="56"/>
      <c r="C224" s="1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</row>
    <row r="225" spans="2:18" ht="58.5">
      <c r="B225" s="57">
        <f t="shared" ref="B225" si="18">B221+1</f>
        <v>56</v>
      </c>
      <c r="C225" s="1"/>
      <c r="D225" s="80"/>
      <c r="E225" s="80"/>
      <c r="F225" s="80"/>
      <c r="G225" s="81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</row>
    <row r="226" spans="2:18">
      <c r="B226" s="58"/>
      <c r="C226" s="1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</row>
    <row r="227" spans="2:18">
      <c r="B227" s="63"/>
      <c r="C227" s="90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</row>
    <row r="228" spans="2:18" ht="39.75">
      <c r="B228" s="56"/>
      <c r="C228" s="1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</row>
    <row r="229" spans="2:18" ht="58.5">
      <c r="B229" s="57">
        <f t="shared" ref="B229" si="19">B225+1</f>
        <v>57</v>
      </c>
      <c r="C229" s="1"/>
      <c r="D229" s="80"/>
      <c r="E229" s="80"/>
      <c r="F229" s="80"/>
      <c r="G229" s="81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</row>
    <row r="230" spans="2:18">
      <c r="B230" s="58"/>
      <c r="C230" s="1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</row>
    <row r="231" spans="2:18">
      <c r="B231" s="63"/>
      <c r="C231" s="90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</row>
    <row r="232" spans="2:18" ht="39.75">
      <c r="B232" s="56"/>
      <c r="C232" s="1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</row>
    <row r="233" spans="2:18" ht="58.5">
      <c r="B233" s="57">
        <f t="shared" ref="B233" si="20">B229+1</f>
        <v>58</v>
      </c>
      <c r="C233" s="1"/>
      <c r="D233" s="80"/>
      <c r="E233" s="80"/>
      <c r="F233" s="80"/>
      <c r="G233" s="81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</row>
    <row r="234" spans="2:18">
      <c r="B234" s="58"/>
      <c r="C234" s="1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</row>
    <row r="235" spans="2:18">
      <c r="B235" s="63"/>
      <c r="C235" s="90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</row>
    <row r="236" spans="2:18" ht="39.75">
      <c r="B236" s="56"/>
      <c r="C236" s="1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</row>
    <row r="237" spans="2:18" ht="58.5">
      <c r="B237" s="57">
        <f t="shared" ref="B237" si="21">B233+1</f>
        <v>59</v>
      </c>
      <c r="C237" s="1"/>
      <c r="D237" s="80"/>
      <c r="E237" s="80"/>
      <c r="F237" s="80"/>
      <c r="G237" s="81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</row>
    <row r="238" spans="2:18">
      <c r="B238" s="58"/>
      <c r="C238" s="1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</row>
    <row r="239" spans="2:18">
      <c r="B239" s="63"/>
      <c r="C239" s="90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</row>
    <row r="240" spans="2:18" ht="39.75">
      <c r="B240" s="56"/>
      <c r="C240" s="1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</row>
    <row r="241" spans="2:18" ht="58.5">
      <c r="B241" s="57">
        <f t="shared" ref="B241" si="22">B237+1</f>
        <v>60</v>
      </c>
      <c r="C241" s="1"/>
      <c r="D241" s="80"/>
      <c r="E241" s="80"/>
      <c r="F241" s="80"/>
      <c r="G241" s="81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</row>
    <row r="242" spans="2:18">
      <c r="B242" s="58"/>
      <c r="C242" s="1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</row>
  </sheetData>
  <mergeCells count="1">
    <mergeCell ref="V3:V22"/>
  </mergeCells>
  <phoneticPr fontId="1" type="noConversion"/>
  <conditionalFormatting sqref="D3:R3">
    <cfRule type="expression" dxfId="9" priority="363">
      <formula>顯示注音輸入</formula>
    </cfRule>
    <cfRule type="expression" dxfId="8" priority="36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">
    <cfRule type="expression" dxfId="7" priority="7">
      <formula>顯示注音輸入</formula>
    </cfRule>
    <cfRule type="expression" dxfId="6" priority="8">
      <formula>"'= TRUE(顯示注音輸入)"</formula>
    </cfRule>
  </conditionalFormatting>
  <conditionalFormatting sqref="D167:R167 D171:R171 D175:R175 D179:R179 D183:R183 D187:R187 D191:R191 D195:R195 D199:R199">
    <cfRule type="expression" dxfId="5" priority="5">
      <formula>顯示注音輸入</formula>
    </cfRule>
    <cfRule type="expression" dxfId="4" priority="6">
      <formula>"'= TRUE(顯示注音輸入)"</formula>
    </cfRule>
  </conditionalFormatting>
  <conditionalFormatting sqref="D203:R20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07:R207 D211:R211 D215:R215 D219:R219 D223:R223 D227:R227 D231:R231 D235:R235 D239:R23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983-B125-4E67-81BB-FB3249D119F4}">
  <dimension ref="B2:R37"/>
  <sheetViews>
    <sheetView showGridLines="0" zoomScale="80" zoomScaleNormal="80" workbookViewId="0">
      <selection activeCell="J10" sqref="J10"/>
    </sheetView>
  </sheetViews>
  <sheetFormatPr defaultRowHeight="21"/>
  <cols>
    <col min="1" max="1" width="2.796875" customWidth="1"/>
    <col min="3" max="3" width="15" bestFit="1" customWidth="1"/>
    <col min="4" max="7" width="12.5" customWidth="1"/>
    <col min="8" max="8" width="8.3984375" customWidth="1"/>
    <col min="10" max="10" width="15" bestFit="1" customWidth="1"/>
    <col min="11" max="11" width="13.296875" style="69" customWidth="1"/>
    <col min="12" max="14" width="13.296875" customWidth="1"/>
    <col min="16" max="16" width="8.796875" style="3"/>
    <col min="17" max="17" width="8.796875" style="4"/>
    <col min="18" max="18" width="14.59765625" customWidth="1"/>
  </cols>
  <sheetData>
    <row r="2" spans="2:18" ht="45.75">
      <c r="B2" s="2" t="s">
        <v>0</v>
      </c>
      <c r="I2" s="2" t="s">
        <v>1</v>
      </c>
    </row>
    <row r="4" spans="2:18" ht="36.75" customHeight="1">
      <c r="D4" s="5" t="s">
        <v>2</v>
      </c>
      <c r="E4" s="5" t="s">
        <v>3</v>
      </c>
      <c r="F4" s="5" t="s">
        <v>4</v>
      </c>
      <c r="G4" s="5" t="s">
        <v>5</v>
      </c>
      <c r="K4" s="5" t="s">
        <v>2</v>
      </c>
      <c r="L4" s="5" t="s">
        <v>3</v>
      </c>
      <c r="M4" s="5" t="s">
        <v>4</v>
      </c>
      <c r="N4" s="5" t="s">
        <v>5</v>
      </c>
    </row>
    <row r="5" spans="2:18" ht="36.75" customHeight="1">
      <c r="B5" s="101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I5" s="101" t="s">
        <v>6</v>
      </c>
      <c r="J5" s="6" t="s">
        <v>7</v>
      </c>
      <c r="K5" s="7" t="s">
        <v>12</v>
      </c>
      <c r="L5" s="7" t="s">
        <v>13</v>
      </c>
      <c r="M5" s="7" t="s">
        <v>14</v>
      </c>
      <c r="N5" s="7" t="s">
        <v>15</v>
      </c>
      <c r="P5" s="8">
        <v>1</v>
      </c>
      <c r="Q5" s="9"/>
      <c r="R5" s="10"/>
    </row>
    <row r="6" spans="2:18" ht="36.75" customHeight="1">
      <c r="B6" s="102"/>
      <c r="C6" s="11" t="s">
        <v>16</v>
      </c>
      <c r="D6" s="12" t="str">
        <f>$B5 &amp; D$4</f>
        <v>陰平</v>
      </c>
      <c r="E6" s="12" t="str">
        <f>$B5 &amp; E$4</f>
        <v>陰上</v>
      </c>
      <c r="F6" s="12" t="str">
        <f>$B5 &amp; F$4</f>
        <v>陰去</v>
      </c>
      <c r="G6" s="12" t="str">
        <f>$B5 &amp; G$4</f>
        <v>陰入</v>
      </c>
      <c r="I6" s="102"/>
      <c r="J6" s="11" t="s">
        <v>17</v>
      </c>
      <c r="K6" s="12" t="s">
        <v>18</v>
      </c>
      <c r="L6" s="12" t="s">
        <v>19</v>
      </c>
      <c r="M6" s="13" t="s">
        <v>20</v>
      </c>
      <c r="N6" s="12" t="s">
        <v>21</v>
      </c>
      <c r="P6" s="8">
        <v>2</v>
      </c>
      <c r="Q6" s="14"/>
    </row>
    <row r="7" spans="2:18" ht="36.75" customHeight="1">
      <c r="B7" s="102"/>
      <c r="C7" s="15" t="s">
        <v>22</v>
      </c>
      <c r="D7" s="16" t="s">
        <v>23</v>
      </c>
      <c r="E7" s="16">
        <v>53</v>
      </c>
      <c r="F7" s="16">
        <v>31</v>
      </c>
      <c r="G7" s="16">
        <v>30</v>
      </c>
      <c r="I7" s="102"/>
      <c r="J7" s="15" t="s">
        <v>22</v>
      </c>
      <c r="K7" s="16" t="s">
        <v>23</v>
      </c>
      <c r="L7" s="16">
        <v>53</v>
      </c>
      <c r="M7" s="16">
        <v>31</v>
      </c>
      <c r="N7" s="16">
        <v>30</v>
      </c>
      <c r="P7" s="8">
        <v>3</v>
      </c>
      <c r="Q7" s="14"/>
    </row>
    <row r="8" spans="2:18" ht="36.75" customHeight="1">
      <c r="B8" s="102"/>
      <c r="C8" s="11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I8" s="102"/>
      <c r="J8" s="18" t="s">
        <v>24</v>
      </c>
      <c r="K8" s="19" t="s">
        <v>29</v>
      </c>
      <c r="L8" s="20" t="s">
        <v>30</v>
      </c>
      <c r="M8" s="21" t="s">
        <v>31</v>
      </c>
      <c r="N8" s="22" t="s">
        <v>32</v>
      </c>
      <c r="P8" s="8">
        <v>4</v>
      </c>
      <c r="Q8" s="14"/>
    </row>
    <row r="9" spans="2:18" ht="36.75" customHeight="1">
      <c r="B9" s="102"/>
      <c r="C9" s="11" t="s">
        <v>33</v>
      </c>
      <c r="D9" s="23" t="s">
        <v>34</v>
      </c>
      <c r="E9" s="23" t="s">
        <v>35</v>
      </c>
      <c r="F9" s="24" t="s">
        <v>36</v>
      </c>
      <c r="G9" s="23" t="s">
        <v>37</v>
      </c>
      <c r="I9" s="102"/>
      <c r="J9" s="11" t="s">
        <v>33</v>
      </c>
      <c r="K9" s="23" t="s">
        <v>34</v>
      </c>
      <c r="L9" s="23" t="s">
        <v>35</v>
      </c>
      <c r="M9" s="24" t="s">
        <v>36</v>
      </c>
      <c r="N9" s="23" t="s">
        <v>37</v>
      </c>
      <c r="P9" s="8">
        <v>5</v>
      </c>
      <c r="Q9" s="14"/>
    </row>
    <row r="10" spans="2:18" ht="36.75" customHeight="1">
      <c r="B10" s="103"/>
      <c r="C10" s="11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  <c r="I10" s="103"/>
      <c r="J10" s="11" t="s">
        <v>43</v>
      </c>
      <c r="K10" s="25" t="s">
        <v>44</v>
      </c>
      <c r="L10" s="26" t="s">
        <v>45</v>
      </c>
      <c r="M10" s="17" t="s">
        <v>46</v>
      </c>
      <c r="N10" s="25" t="s">
        <v>47</v>
      </c>
      <c r="P10" s="8">
        <v>6</v>
      </c>
      <c r="Q10" s="27"/>
      <c r="R10" s="28"/>
    </row>
    <row r="11" spans="2:18" ht="36.75" customHeight="1">
      <c r="B11" s="101" t="s">
        <v>48</v>
      </c>
      <c r="C11" s="6" t="s">
        <v>7</v>
      </c>
      <c r="D11" s="7" t="s">
        <v>49</v>
      </c>
      <c r="E11" s="7" t="s">
        <v>50</v>
      </c>
      <c r="F11" s="7" t="s">
        <v>51</v>
      </c>
      <c r="G11" s="7" t="s">
        <v>52</v>
      </c>
      <c r="I11" s="101" t="s">
        <v>48</v>
      </c>
      <c r="J11" s="6" t="s">
        <v>7</v>
      </c>
      <c r="K11" s="7" t="s">
        <v>53</v>
      </c>
      <c r="L11" s="29" t="s">
        <v>54</v>
      </c>
      <c r="M11" s="7" t="s">
        <v>55</v>
      </c>
      <c r="N11" s="7" t="s">
        <v>56</v>
      </c>
      <c r="P11" s="8">
        <v>7</v>
      </c>
      <c r="Q11" s="14"/>
    </row>
    <row r="12" spans="2:18" ht="36.75" customHeight="1">
      <c r="B12" s="102"/>
      <c r="C12" s="11" t="s">
        <v>16</v>
      </c>
      <c r="D12" s="12" t="str">
        <f>$B11 &amp; D$4</f>
        <v>陽平</v>
      </c>
      <c r="E12" s="12" t="str">
        <f>$B11 &amp; E$4</f>
        <v>陽上</v>
      </c>
      <c r="F12" s="12" t="str">
        <f>$B11 &amp; F$4</f>
        <v>陽去</v>
      </c>
      <c r="G12" s="12" t="str">
        <f>$B11 &amp; G$4</f>
        <v>陽入</v>
      </c>
      <c r="I12" s="102"/>
      <c r="J12" s="11" t="s">
        <v>17</v>
      </c>
      <c r="K12" s="13" t="s">
        <v>57</v>
      </c>
      <c r="L12" s="30"/>
      <c r="M12" s="12" t="s">
        <v>58</v>
      </c>
      <c r="N12" s="12" t="s">
        <v>59</v>
      </c>
      <c r="P12" s="8">
        <v>8</v>
      </c>
      <c r="Q12" s="14"/>
    </row>
    <row r="13" spans="2:18" ht="36.75" customHeight="1">
      <c r="B13" s="102"/>
      <c r="C13" s="15" t="s">
        <v>22</v>
      </c>
      <c r="D13" s="16">
        <v>24</v>
      </c>
      <c r="E13" s="30"/>
      <c r="F13" s="16" t="s">
        <v>60</v>
      </c>
      <c r="G13" s="16">
        <v>50</v>
      </c>
      <c r="I13" s="102"/>
      <c r="J13" s="15" t="s">
        <v>22</v>
      </c>
      <c r="K13" s="16">
        <v>24</v>
      </c>
      <c r="L13" s="30"/>
      <c r="M13" s="16" t="s">
        <v>60</v>
      </c>
      <c r="N13" s="16">
        <v>50</v>
      </c>
      <c r="P13" s="8">
        <v>9</v>
      </c>
      <c r="Q13" s="14"/>
    </row>
    <row r="14" spans="2:18" ht="36.75" customHeight="1">
      <c r="B14" s="102"/>
      <c r="C14" s="11" t="s">
        <v>24</v>
      </c>
      <c r="D14" s="17" t="s">
        <v>61</v>
      </c>
      <c r="E14" s="30"/>
      <c r="F14" s="17" t="s">
        <v>62</v>
      </c>
      <c r="G14" s="17" t="s">
        <v>63</v>
      </c>
      <c r="I14" s="102"/>
      <c r="J14" s="11" t="s">
        <v>24</v>
      </c>
      <c r="K14" s="19" t="s">
        <v>64</v>
      </c>
      <c r="L14" s="30"/>
      <c r="M14" s="21" t="s">
        <v>65</v>
      </c>
      <c r="N14" s="22" t="s">
        <v>66</v>
      </c>
      <c r="P14" s="8">
        <v>10</v>
      </c>
      <c r="Q14" s="14"/>
    </row>
    <row r="15" spans="2:18" ht="36.75" customHeight="1">
      <c r="B15" s="102"/>
      <c r="C15" s="11" t="s">
        <v>33</v>
      </c>
      <c r="D15" s="23" t="s">
        <v>67</v>
      </c>
      <c r="E15" s="30"/>
      <c r="F15" s="23" t="s">
        <v>68</v>
      </c>
      <c r="G15" s="23" t="s">
        <v>69</v>
      </c>
      <c r="I15" s="102"/>
      <c r="J15" s="11" t="s">
        <v>33</v>
      </c>
      <c r="K15" s="23" t="s">
        <v>67</v>
      </c>
      <c r="L15" s="30"/>
      <c r="M15" s="23" t="s">
        <v>68</v>
      </c>
      <c r="N15" s="23" t="s">
        <v>69</v>
      </c>
      <c r="P15" s="8">
        <v>11</v>
      </c>
      <c r="Q15" s="14"/>
    </row>
    <row r="16" spans="2:18" ht="36.75" customHeight="1">
      <c r="B16" s="103"/>
      <c r="C16" s="11" t="s">
        <v>38</v>
      </c>
      <c r="D16" s="17" t="s">
        <v>70</v>
      </c>
      <c r="E16" s="30"/>
      <c r="F16" s="17" t="s">
        <v>71</v>
      </c>
      <c r="G16" s="17" t="s">
        <v>72</v>
      </c>
      <c r="I16" s="103"/>
      <c r="J16" s="11" t="s">
        <v>43</v>
      </c>
      <c r="K16" s="25" t="s">
        <v>73</v>
      </c>
      <c r="L16" s="31"/>
      <c r="M16" s="32" t="s">
        <v>74</v>
      </c>
      <c r="N16" s="25" t="s">
        <v>75</v>
      </c>
      <c r="P16" s="8">
        <v>12</v>
      </c>
      <c r="Q16" s="9"/>
      <c r="R16" s="10"/>
    </row>
    <row r="18" spans="3:14" ht="39">
      <c r="C18" s="33"/>
      <c r="D18" s="34"/>
      <c r="E18" s="34"/>
      <c r="F18" s="34"/>
      <c r="G18" s="35"/>
      <c r="H18" s="36"/>
      <c r="J18" s="36"/>
      <c r="K18" s="37"/>
      <c r="L18" s="37"/>
      <c r="M18" s="37"/>
      <c r="N18" s="37"/>
    </row>
    <row r="19" spans="3:14" ht="42.75" customHeight="1">
      <c r="C19" s="36"/>
      <c r="J19" s="70">
        <v>1</v>
      </c>
      <c r="K19" s="71" t="s">
        <v>173</v>
      </c>
      <c r="L19" s="37"/>
      <c r="M19" s="37"/>
      <c r="N19" s="37"/>
    </row>
    <row r="20" spans="3:14" ht="42.75" customHeight="1">
      <c r="C20" s="36"/>
      <c r="J20" s="70">
        <v>7</v>
      </c>
      <c r="K20" s="71" t="s">
        <v>177</v>
      </c>
      <c r="L20" s="37"/>
      <c r="M20" s="37"/>
      <c r="N20" s="37"/>
    </row>
    <row r="21" spans="3:14" ht="42.75" customHeight="1">
      <c r="C21" s="36"/>
      <c r="J21" s="70">
        <v>3</v>
      </c>
      <c r="K21" s="71" t="s">
        <v>178</v>
      </c>
      <c r="L21" s="37"/>
      <c r="M21" s="37"/>
      <c r="N21" s="37"/>
    </row>
    <row r="22" spans="3:14" ht="42.75" customHeight="1">
      <c r="C22" s="36"/>
      <c r="J22" s="70">
        <v>2</v>
      </c>
      <c r="K22" s="72" t="s">
        <v>172</v>
      </c>
      <c r="L22" s="37"/>
      <c r="M22" s="37"/>
      <c r="N22" s="37"/>
    </row>
    <row r="23" spans="3:14" ht="42.75" customHeight="1">
      <c r="C23" s="36"/>
      <c r="J23" s="70">
        <v>5</v>
      </c>
      <c r="K23" s="72" t="s">
        <v>174</v>
      </c>
      <c r="L23" s="37"/>
      <c r="M23" s="37"/>
      <c r="N23" s="37"/>
    </row>
    <row r="24" spans="3:14" ht="42.75" customHeight="1">
      <c r="C24" s="36"/>
      <c r="J24" s="70" t="s">
        <v>179</v>
      </c>
      <c r="K24" s="73" t="s">
        <v>179</v>
      </c>
      <c r="L24" s="37"/>
      <c r="M24" s="37"/>
      <c r="N24" s="37"/>
    </row>
    <row r="25" spans="3:14" ht="42.75" customHeight="1">
      <c r="C25" s="36"/>
      <c r="J25" s="70">
        <v>4</v>
      </c>
      <c r="K25" s="71" t="s">
        <v>180</v>
      </c>
      <c r="L25" s="37"/>
      <c r="M25" s="37"/>
      <c r="N25" s="37"/>
    </row>
    <row r="26" spans="3:14" ht="42.75" customHeight="1">
      <c r="C26" s="36"/>
      <c r="J26" s="70">
        <v>8</v>
      </c>
      <c r="K26" s="71" t="s">
        <v>181</v>
      </c>
      <c r="L26" s="37"/>
      <c r="M26" s="37"/>
      <c r="N26" s="37"/>
    </row>
    <row r="27" spans="3:14">
      <c r="J27" s="36"/>
      <c r="K27" s="37"/>
      <c r="L27" s="37"/>
      <c r="M27" s="37"/>
      <c r="N27" s="37"/>
    </row>
    <row r="28" spans="3:14" ht="29.25" customHeight="1">
      <c r="J28" s="36"/>
      <c r="K28" s="37"/>
      <c r="L28" s="37"/>
      <c r="M28" s="37"/>
      <c r="N28" s="37"/>
    </row>
    <row r="29" spans="3:14">
      <c r="J29" s="36"/>
      <c r="K29" s="37"/>
      <c r="L29" s="37"/>
      <c r="M29" s="37"/>
      <c r="N29" s="37"/>
    </row>
    <row r="30" spans="3:14">
      <c r="J30" s="36"/>
      <c r="K30" s="37"/>
      <c r="L30" s="37"/>
      <c r="M30" s="37"/>
      <c r="N30" s="37"/>
    </row>
    <row r="31" spans="3:14">
      <c r="J31" s="36"/>
      <c r="K31" s="37"/>
      <c r="L31" s="37"/>
      <c r="M31" s="37"/>
      <c r="N31" s="37"/>
    </row>
    <row r="32" spans="3:14">
      <c r="J32" s="36"/>
      <c r="K32" s="37"/>
      <c r="L32" s="37"/>
      <c r="M32" s="37"/>
      <c r="N32" s="37"/>
    </row>
    <row r="33" spans="10:14">
      <c r="J33" s="36"/>
      <c r="K33" s="37"/>
      <c r="L33" s="37"/>
      <c r="M33" s="37"/>
      <c r="N33" s="37"/>
    </row>
    <row r="34" spans="10:14">
      <c r="J34" s="36"/>
      <c r="K34" s="37"/>
      <c r="L34" s="37"/>
      <c r="M34" s="37"/>
      <c r="N34" s="37"/>
    </row>
    <row r="35" spans="10:14">
      <c r="J35" s="36"/>
      <c r="K35" s="37"/>
      <c r="L35" s="37"/>
      <c r="M35" s="37"/>
      <c r="N35" s="37"/>
    </row>
    <row r="36" spans="10:14">
      <c r="J36" s="36"/>
      <c r="K36" s="37"/>
      <c r="L36" s="37"/>
      <c r="M36" s="37"/>
      <c r="N36" s="37"/>
    </row>
    <row r="37" spans="10:14">
      <c r="J37" s="36"/>
      <c r="K37" s="37"/>
      <c r="L37" s="37"/>
      <c r="M37" s="37"/>
      <c r="N37" s="37"/>
    </row>
  </sheetData>
  <mergeCells count="4">
    <mergeCell ref="B5:B10"/>
    <mergeCell ref="I5:I10"/>
    <mergeCell ref="B11:B16"/>
    <mergeCell ref="I11:I1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ADB1-5996-43FA-9088-1195345750BF}">
  <dimension ref="A2:Q30"/>
  <sheetViews>
    <sheetView workbookViewId="0">
      <selection activeCell="P17" sqref="P17"/>
    </sheetView>
  </sheetViews>
  <sheetFormatPr defaultRowHeight="25.5"/>
  <cols>
    <col min="1" max="1" width="2.19921875" customWidth="1"/>
    <col min="2" max="2" width="66.59765625" customWidth="1"/>
    <col min="3" max="3" width="2.5" customWidth="1"/>
    <col min="4" max="4" width="5.19921875" style="38" customWidth="1"/>
    <col min="5" max="5" width="34.59765625" style="38" bestFit="1" customWidth="1"/>
    <col min="6" max="6" width="8.69921875" style="39" customWidth="1"/>
    <col min="7" max="7" width="8.59765625" style="39" customWidth="1"/>
    <col min="8" max="8" width="9.19921875" style="39" customWidth="1"/>
    <col min="9" max="9" width="8.796875" style="38"/>
    <col min="10" max="10" width="10.5" style="40" customWidth="1"/>
    <col min="11" max="11" width="14.09765625" style="40" customWidth="1"/>
    <col min="12" max="12" width="8.796875" style="40"/>
    <col min="13" max="13" width="17.5" style="41" customWidth="1"/>
    <col min="14" max="14" width="5.796875" style="41" customWidth="1"/>
    <col min="15" max="16" width="17.5" style="41" customWidth="1"/>
    <col min="17" max="17" width="17.5" style="43" customWidth="1"/>
    <col min="18" max="16384" width="8.796875" style="38"/>
  </cols>
  <sheetData>
    <row r="2" spans="4:16">
      <c r="D2" s="38" t="s">
        <v>76</v>
      </c>
      <c r="O2" s="42" t="s">
        <v>77</v>
      </c>
    </row>
    <row r="3" spans="4:16" ht="31.5" customHeight="1">
      <c r="M3" s="41" t="s">
        <v>78</v>
      </c>
      <c r="O3" s="41" t="s">
        <v>79</v>
      </c>
      <c r="P3" s="41" t="s">
        <v>80</v>
      </c>
    </row>
    <row r="4" spans="4:16" ht="31.5" customHeight="1">
      <c r="D4" s="38">
        <v>1</v>
      </c>
      <c r="E4" s="38" t="s">
        <v>81</v>
      </c>
      <c r="F4" s="44" t="s">
        <v>172</v>
      </c>
      <c r="G4" s="45" t="s">
        <v>82</v>
      </c>
      <c r="H4" s="44" t="s">
        <v>173</v>
      </c>
      <c r="J4" s="40" t="s">
        <v>83</v>
      </c>
      <c r="K4" s="40" t="s">
        <v>84</v>
      </c>
      <c r="M4" s="41" t="s">
        <v>85</v>
      </c>
      <c r="O4" s="41" t="s">
        <v>85</v>
      </c>
      <c r="P4" s="41" t="s">
        <v>86</v>
      </c>
    </row>
    <row r="5" spans="4:16" ht="31.5" customHeight="1">
      <c r="F5" s="39">
        <v>53</v>
      </c>
      <c r="H5" s="39" t="s">
        <v>23</v>
      </c>
      <c r="J5" s="46">
        <v>2</v>
      </c>
      <c r="K5" s="46">
        <v>1</v>
      </c>
      <c r="M5" s="41" t="s">
        <v>87</v>
      </c>
      <c r="O5" s="41" t="s">
        <v>88</v>
      </c>
      <c r="P5" s="41" t="s">
        <v>89</v>
      </c>
    </row>
    <row r="6" spans="4:16" ht="31.5" customHeight="1">
      <c r="J6" s="46"/>
      <c r="K6" s="46"/>
    </row>
    <row r="7" spans="4:16" ht="31.5" customHeight="1">
      <c r="M7" s="41" t="s">
        <v>90</v>
      </c>
      <c r="O7" s="41" t="s">
        <v>91</v>
      </c>
      <c r="P7" s="41" t="s">
        <v>92</v>
      </c>
    </row>
    <row r="8" spans="4:16" ht="31.5" customHeight="1">
      <c r="D8" s="38">
        <v>2</v>
      </c>
      <c r="E8" s="38" t="s">
        <v>93</v>
      </c>
      <c r="F8" s="44" t="s">
        <v>174</v>
      </c>
      <c r="G8" s="45" t="s">
        <v>82</v>
      </c>
      <c r="H8" s="44" t="s">
        <v>175</v>
      </c>
      <c r="J8" s="40" t="s">
        <v>94</v>
      </c>
      <c r="K8" s="40" t="s">
        <v>95</v>
      </c>
      <c r="M8" s="41" t="s">
        <v>96</v>
      </c>
      <c r="O8" s="41" t="s">
        <v>96</v>
      </c>
      <c r="P8" s="41" t="s">
        <v>97</v>
      </c>
    </row>
    <row r="9" spans="4:16" ht="31.5" customHeight="1">
      <c r="F9" s="39">
        <v>13</v>
      </c>
      <c r="H9" s="39" t="s">
        <v>60</v>
      </c>
      <c r="J9" s="46">
        <v>5</v>
      </c>
      <c r="K9" s="46">
        <v>7</v>
      </c>
      <c r="M9" s="41" t="s">
        <v>98</v>
      </c>
      <c r="O9" s="41" t="s">
        <v>99</v>
      </c>
      <c r="P9" s="41" t="s">
        <v>100</v>
      </c>
    </row>
    <row r="10" spans="4:16" ht="31.5" customHeight="1"/>
    <row r="11" spans="4:16" ht="31.5" customHeight="1">
      <c r="M11" s="41" t="s">
        <v>101</v>
      </c>
      <c r="O11" s="41" t="s">
        <v>102</v>
      </c>
      <c r="P11" s="41" t="s">
        <v>103</v>
      </c>
    </row>
    <row r="12" spans="4:16" ht="31.5" customHeight="1">
      <c r="D12" s="38">
        <v>3</v>
      </c>
      <c r="E12" s="38" t="s">
        <v>104</v>
      </c>
      <c r="F12" s="44" t="s">
        <v>173</v>
      </c>
      <c r="G12" s="45" t="s">
        <v>82</v>
      </c>
      <c r="H12" s="44" t="s">
        <v>175</v>
      </c>
      <c r="J12" s="40" t="s">
        <v>105</v>
      </c>
      <c r="K12" s="40" t="s">
        <v>106</v>
      </c>
      <c r="M12" s="41" t="s">
        <v>107</v>
      </c>
      <c r="O12" s="41" t="s">
        <v>107</v>
      </c>
      <c r="P12" s="41" t="s">
        <v>108</v>
      </c>
    </row>
    <row r="13" spans="4:16" ht="31.5" customHeight="1">
      <c r="F13" s="39" t="s">
        <v>23</v>
      </c>
      <c r="H13" s="39" t="s">
        <v>60</v>
      </c>
      <c r="J13" s="46">
        <v>1</v>
      </c>
      <c r="K13" s="46">
        <v>7</v>
      </c>
      <c r="M13" s="41" t="s">
        <v>109</v>
      </c>
      <c r="O13" s="41" t="s">
        <v>110</v>
      </c>
      <c r="P13" s="41" t="s">
        <v>111</v>
      </c>
    </row>
    <row r="14" spans="4:16" ht="31.5" customHeight="1"/>
    <row r="15" spans="4:16" ht="31.5" customHeight="1">
      <c r="M15" s="41" t="s">
        <v>112</v>
      </c>
      <c r="O15" s="41" t="s">
        <v>113</v>
      </c>
      <c r="P15" s="41" t="s">
        <v>114</v>
      </c>
    </row>
    <row r="16" spans="4:16" ht="31.5" customHeight="1">
      <c r="D16" s="38">
        <v>4</v>
      </c>
      <c r="E16" s="38" t="s">
        <v>115</v>
      </c>
      <c r="F16" s="44" t="s">
        <v>175</v>
      </c>
      <c r="G16" s="45" t="s">
        <v>82</v>
      </c>
      <c r="H16" s="44" t="s">
        <v>176</v>
      </c>
      <c r="J16" s="40" t="s">
        <v>116</v>
      </c>
      <c r="K16" s="40" t="s">
        <v>117</v>
      </c>
      <c r="M16" s="41" t="s">
        <v>118</v>
      </c>
      <c r="O16" s="41" t="s">
        <v>118</v>
      </c>
      <c r="P16" s="41" t="s">
        <v>119</v>
      </c>
    </row>
    <row r="17" spans="4:16" ht="31.5" customHeight="1">
      <c r="F17" s="39" t="s">
        <v>60</v>
      </c>
      <c r="H17" s="39" t="s">
        <v>120</v>
      </c>
      <c r="J17" s="46">
        <v>7</v>
      </c>
      <c r="K17" s="46">
        <v>3</v>
      </c>
      <c r="M17" s="41" t="s">
        <v>121</v>
      </c>
      <c r="O17" s="41" t="s">
        <v>122</v>
      </c>
      <c r="P17" s="41" t="s">
        <v>123</v>
      </c>
    </row>
    <row r="18" spans="4:16" ht="31.5" customHeight="1"/>
    <row r="19" spans="4:16" ht="31.5" customHeight="1">
      <c r="M19" s="41" t="s">
        <v>124</v>
      </c>
      <c r="O19" s="41" t="s">
        <v>125</v>
      </c>
      <c r="P19" s="41" t="s">
        <v>126</v>
      </c>
    </row>
    <row r="20" spans="4:16" ht="31.5" customHeight="1">
      <c r="D20" s="38">
        <v>5</v>
      </c>
      <c r="E20" s="38" t="s">
        <v>127</v>
      </c>
      <c r="F20" s="44" t="s">
        <v>176</v>
      </c>
      <c r="G20" s="45" t="s">
        <v>82</v>
      </c>
      <c r="H20" s="44" t="s">
        <v>172</v>
      </c>
      <c r="J20" s="40" t="s">
        <v>128</v>
      </c>
      <c r="K20" s="40" t="s">
        <v>129</v>
      </c>
      <c r="M20" s="41" t="s">
        <v>130</v>
      </c>
      <c r="O20" s="41" t="s">
        <v>130</v>
      </c>
      <c r="P20" s="41" t="s">
        <v>131</v>
      </c>
    </row>
    <row r="21" spans="4:16" ht="31.5" customHeight="1">
      <c r="F21" s="39" t="s">
        <v>120</v>
      </c>
      <c r="H21" s="39">
        <v>53</v>
      </c>
      <c r="J21" s="46">
        <v>3</v>
      </c>
      <c r="K21" s="46">
        <v>2</v>
      </c>
      <c r="M21" s="41" t="s">
        <v>132</v>
      </c>
      <c r="O21" s="41" t="s">
        <v>133</v>
      </c>
      <c r="P21" s="47" t="s">
        <v>134</v>
      </c>
    </row>
    <row r="22" spans="4:16">
      <c r="P22" s="38"/>
    </row>
    <row r="23" spans="4:16">
      <c r="M23" s="41" t="s">
        <v>135</v>
      </c>
      <c r="O23" s="41" t="s">
        <v>136</v>
      </c>
      <c r="P23" s="41" t="s">
        <v>137</v>
      </c>
    </row>
    <row r="24" spans="4:16" ht="30">
      <c r="D24" s="38">
        <v>6</v>
      </c>
      <c r="E24" s="38" t="s">
        <v>138</v>
      </c>
      <c r="F24" s="48" t="s">
        <v>139</v>
      </c>
      <c r="G24" s="45" t="s">
        <v>82</v>
      </c>
      <c r="H24" s="48" t="s">
        <v>140</v>
      </c>
      <c r="J24" s="41" t="s">
        <v>141</v>
      </c>
      <c r="K24" s="41" t="s">
        <v>142</v>
      </c>
      <c r="M24" s="41" t="s">
        <v>143</v>
      </c>
      <c r="O24" s="41" t="s">
        <v>143</v>
      </c>
      <c r="P24" s="41" t="s">
        <v>144</v>
      </c>
    </row>
    <row r="25" spans="4:16">
      <c r="F25" s="39">
        <v>30</v>
      </c>
      <c r="H25" s="39">
        <v>50</v>
      </c>
      <c r="J25" s="46">
        <v>4</v>
      </c>
      <c r="K25" s="46">
        <v>8</v>
      </c>
      <c r="M25" s="47" t="s">
        <v>145</v>
      </c>
      <c r="O25" s="41" t="s">
        <v>146</v>
      </c>
      <c r="P25" s="41" t="s">
        <v>147</v>
      </c>
    </row>
    <row r="28" spans="4:16">
      <c r="M28" s="41" t="s">
        <v>148</v>
      </c>
      <c r="O28" s="41" t="s">
        <v>149</v>
      </c>
      <c r="P28" s="41" t="s">
        <v>150</v>
      </c>
    </row>
    <row r="29" spans="4:16" ht="30">
      <c r="D29" s="38">
        <v>7</v>
      </c>
      <c r="E29" s="38" t="s">
        <v>151</v>
      </c>
      <c r="F29" s="48" t="s">
        <v>140</v>
      </c>
      <c r="G29" s="45" t="s">
        <v>82</v>
      </c>
      <c r="H29" s="48" t="s">
        <v>139</v>
      </c>
      <c r="J29" s="41" t="s">
        <v>152</v>
      </c>
      <c r="K29" s="41" t="s">
        <v>153</v>
      </c>
      <c r="M29" s="41" t="s">
        <v>154</v>
      </c>
      <c r="O29" s="41" t="s">
        <v>154</v>
      </c>
      <c r="P29" s="41" t="s">
        <v>155</v>
      </c>
    </row>
    <row r="30" spans="4:16">
      <c r="F30" s="39">
        <v>50</v>
      </c>
      <c r="G30" s="38"/>
      <c r="H30" s="39">
        <v>30</v>
      </c>
      <c r="J30" s="46">
        <v>8</v>
      </c>
      <c r="K30" s="46">
        <v>4</v>
      </c>
      <c r="M30" s="47" t="s">
        <v>156</v>
      </c>
      <c r="O30" s="41" t="s">
        <v>157</v>
      </c>
      <c r="P30" s="41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769-E0A0-48CC-8CA4-0FCF71044A6B}">
  <dimension ref="A1"/>
  <sheetViews>
    <sheetView workbookViewId="0">
      <selection activeCell="S14" sqref="S14"/>
    </sheetView>
  </sheetViews>
  <sheetFormatPr defaultRowHeight="21"/>
  <sheetData/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8</vt:i4>
      </vt:variant>
    </vt:vector>
  </HeadingPairs>
  <TitlesOfParts>
    <vt:vector size="13" baseType="lpstr">
      <vt:lpstr>env</vt:lpstr>
      <vt:lpstr>漢字注音</vt:lpstr>
      <vt:lpstr>135拼音-聲調符號</vt:lpstr>
      <vt:lpstr>135拼音-聲調轉換</vt:lpstr>
      <vt:lpstr>轉調助記圖</vt:lpstr>
      <vt:lpstr>FILE_NAME</vt:lpstr>
      <vt:lpstr>IMAGE_URL</vt:lpstr>
      <vt:lpstr>INPUT_FILE_PATH</vt:lpstr>
      <vt:lpstr>OUTPUT_PATH</vt:lpstr>
      <vt:lpstr>TITLE</vt:lpstr>
      <vt:lpstr>每列總字數</vt:lpstr>
      <vt:lpstr>每頁總列數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2024-10-16T07:54:06Z</dcterms:modified>
  <cp:category/>
  <cp:contentStatus/>
</cp:coreProperties>
</file>